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425ff0dc3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d7c4909e4e404add"/>
    <x:sheet xmlns:r="http://schemas.openxmlformats.org/officeDocument/2006/relationships" name="Dashboard" sheetId="2" r:id="R5e48305e95a1487b"/>
    <x:sheet xmlns:r="http://schemas.openxmlformats.org/officeDocument/2006/relationships" name="Taxonomy &amp; Scoring" sheetId="3" r:id="R8309665348cd4ec7"/>
    <x:sheet xmlns:r="http://schemas.openxmlformats.org/officeDocument/2006/relationships" name="Sources" sheetId="4" r:id="R3ab69bbf5dc14a36"/>
    <x:sheet xmlns:r="http://schemas.openxmlformats.org/officeDocument/2006/relationships" name="Mining Plan" sheetId="5" r:id="Rb6a864810198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172A"/>
      </x:patternFill>
    </x:fill>
    <x:fill>
      <x:patternFill patternType="solid">
        <x:fgColor rgb="FF115E5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37f5495564ecc" /><Relationship Type="http://schemas.openxmlformats.org/officeDocument/2006/relationships/theme" Target="/xl/theme/theme1.xml" Id="R5406a74621244f02" /><Relationship Type="http://schemas.openxmlformats.org/officeDocument/2006/relationships/sharedStrings" Target="/xl/sharedStrings.xml" Id="R79653d71b9a84574" /><Relationship Type="http://schemas.openxmlformats.org/officeDocument/2006/relationships/worksheet" Target="/xl/worksheets/sheet1.xml" Id="Rd7c4909e4e404add" /><Relationship Type="http://schemas.openxmlformats.org/officeDocument/2006/relationships/worksheet" Target="/xl/worksheets/sheet2.xml" Id="R5e48305e95a1487b" /><Relationship Type="http://schemas.openxmlformats.org/officeDocument/2006/relationships/worksheet" Target="/xl/worksheets/sheet3.xml" Id="R8309665348cd4ec7" /><Relationship Type="http://schemas.openxmlformats.org/officeDocument/2006/relationships/worksheet" Target="/xl/worksheets/sheet4.xml" Id="R3ab69bbf5dc14a36" /><Relationship Type="http://schemas.openxmlformats.org/officeDocument/2006/relationships/worksheet" Target="/xl/worksheets/sheet5.xml" Id="Rb6a86481019847cb" /></Relationships>
</file>

<file path=xl/tables/table1.xml><?xml version="1.0" encoding="utf-8"?>
<x:table xmlns:x="http://schemas.openxmlformats.org/spreadsheetml/2006/main" id="1" name="NGOImpactRegistry" displayName="NGOImpactRegistry" ref="A1:R124" headerRowCount="1">
  <x:tableColumns count="18">
    <x:tableColumn id="1" name="ID"/>
    <x:tableColumn id="2" name="Region"/>
    <x:tableColumn id="3" name="Subregion/District"/>
    <x:tableColumn id="4" name="Country/Admin"/>
    <x:tableColumn id="5" name="Organization"/>
    <x:tableColumn id="6" name="Org Type"/>
    <x:tableColumn id="7" name="Primary Environmental Domain"/>
    <x:tableColumn id="8" name="Secondary Domains"/>
    <x:tableColumn id="9" name="Known Work / Impact Notes"/>
    <x:tableColumn id="10" name="Public Email"/>
    <x:tableColumn id="11" name="Public Phone/WhatsApp"/>
    <x:tableColumn id="12" name="Website / Profile"/>
    <x:tableColumn id="13" name="Source URL"/>
    <x:tableColumn id="14" name="Verification Tier"/>
    <x:tableColumn id="15" name="KEW KPI Fit"/>
    <x:tableColumn id="16" name="Suggested Outreach Priority"/>
    <x:tableColumn id="17" name="Data Status"/>
    <x:tableColumn id="18" name="Last Check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91344640994be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18" hidden="0" customWidth="1"/>
    <x:col min="5" max="5" width="40" hidden="0" customWidth="1"/>
    <x:col min="6" max="6" width="24" hidden="0" customWidth="1"/>
    <x:col min="7" max="7" width="26" hidden="0" customWidth="1"/>
    <x:col min="8" max="8" width="34" hidden="0" customWidth="1"/>
    <x:col min="9" max="9" width="48" hidden="0" customWidth="1"/>
    <x:col min="10" max="10" width="26" hidden="0" customWidth="1"/>
    <x:col min="11" max="11" width="20" hidden="0" customWidth="1"/>
    <x:col min="12" max="12" width="35" hidden="0" customWidth="1"/>
    <x:col min="13" max="13" width="55" hidden="0" customWidth="1"/>
    <x:col min="14" max="14" width="24" hidden="0" customWidth="1"/>
    <x:col min="15" max="15" width="30" hidden="0" customWidth="1"/>
    <x:col min="16" max="16" width="18" hidden="0" customWidth="1"/>
    <x:col min="17" max="17" width="28" hidden="0" customWidth="1"/>
    <x:col min="18" max="18" width="14" hidden="0" customWidth="1"/>
  </x:cols>
  <x:sheetData>
    <x:row r="1">
      <x:c r="A1" s="6" t="str">
        <x:v>ID</x:v>
      </x:c>
      <x:c r="B1" s="6" t="str">
        <x:v>Region</x:v>
      </x:c>
      <x:c r="C1" s="6" t="str">
        <x:v>Subregion/District</x:v>
      </x:c>
      <x:c r="D1" s="6" t="str">
        <x:v>Country/Admin</x:v>
      </x:c>
      <x:c r="E1" s="6" t="str">
        <x:v>Organization</x:v>
      </x:c>
      <x:c r="F1" s="6" t="str">
        <x:v>Org Type</x:v>
      </x:c>
      <x:c r="G1" s="6" t="str">
        <x:v>Primary Environmental Domain</x:v>
      </x:c>
      <x:c r="H1" s="6" t="str">
        <x:v>Secondary Domains</x:v>
      </x:c>
      <x:c r="I1" s="6" t="str">
        <x:v>Known Work / Impact Notes</x:v>
      </x:c>
      <x:c r="J1" s="6" t="str">
        <x:v>Public Email</x:v>
      </x:c>
      <x:c r="K1" s="6" t="str">
        <x:v>Public Phone/WhatsApp</x:v>
      </x:c>
      <x:c r="L1" s="6" t="str">
        <x:v>Website / Profile</x:v>
      </x:c>
      <x:c r="M1" s="6" t="str">
        <x:v>Source URL</x:v>
      </x:c>
      <x:c r="N1" s="6" t="str">
        <x:v>Verification Tier</x:v>
      </x:c>
      <x:c r="O1" s="6" t="str">
        <x:v>KEW KPI Fit</x:v>
      </x:c>
      <x:c r="P1" s="6" t="str">
        <x:v>Suggested Outreach Priority</x:v>
      </x:c>
      <x:c r="Q1" s="6" t="str">
        <x:v>Data Status</x:v>
      </x:c>
      <x:c r="R1" s="6" t="str">
        <x:v>Last Checked</x:v>
      </x:c>
    </x:row>
    <x:row r="2">
      <x:c r="A2" s="12" t="n">
        <x:v>1</x:v>
      </x:c>
      <x:c r="B2" s="12" t="str">
        <x:v>Jammu &amp; Kashmir</x:v>
      </x:c>
      <x:c r="C2" s="12" t="str">
        <x:v>Srinagar</x:v>
      </x:c>
      <x:c r="D2" s="12" t="str">
        <x:v>India</x:v>
      </x:c>
      <x:c r="E2" s="12" t="str">
        <x:v>CHINAR International</x:v>
      </x:c>
      <x:c r="F2" s="12" t="str">
        <x:v>NGO / Charity</x:v>
      </x:c>
      <x:c r="G2" s="12" t="str">
        <x:v>Disaster Relief</x:v>
      </x:c>
      <x:c r="H2" s="12" t="str">
        <x:v>Community outreach; welfare; education</x:v>
      </x:c>
      <x:c r="I2" s="12" t="str">
        <x:v>Child development, education, youth development, livelihoods and crisis relief; environment category appears through disaster relief.</x:v>
      </x:c>
      <x:c r="J2" s="12" t="str"/>
      <x:c r="K2" s="12" t="str"/>
      <x:c r="L2" s="12" t="str"/>
      <x:c r="M2" s="12" t="str">
        <x:v>https://ngobase.org/stwa/IN.JK/ENC/environment-and-climate-ngos-charities-jammu-and-kashmir</x:v>
      </x:c>
      <x:c r="N2" s="12" t="str">
        <x:v>Tier 2 - Directory / public listing</x:v>
      </x:c>
      <x:c r="O2" s="12" t="str">
        <x:v>NGO reach; DRR; awareness; community action</x:v>
      </x:c>
      <x:c r="P2" s="12" t="str">
        <x:v>Medium</x:v>
      </x:c>
      <x:c r="Q2" s="12" t="str">
        <x:v>Seed record - verify before outreach</x:v>
      </x:c>
      <x:c r="R2" s="14" t="str">
        <x:v>2026-07-08</x:v>
      </x:c>
    </x:row>
    <x:row r="3">
      <x:c r="A3" s="12" t="n">
        <x:v>2</x:v>
      </x:c>
      <x:c r="B3" s="12" t="str">
        <x:v>Jammu &amp; Kashmir</x:v>
      </x:c>
      <x:c r="C3" s="12" t="str">
        <x:v>Jammu</x:v>
      </x:c>
      <x:c r="D3" s="12" t="str">
        <x:v>India</x:v>
      </x:c>
      <x:c r="E3" s="12" t="str">
        <x:v>Himalayan Welfare Organization-HWO</x:v>
      </x:c>
      <x:c r="F3" s="12" t="str">
        <x:v>NGO / Charity</x:v>
      </x:c>
      <x:c r="G3" s="12" t="str">
        <x:v>Environment Protection</x:v>
      </x:c>
      <x:c r="H3" s="12" t="str">
        <x:v>Community outreach; welfare; education</x:v>
      </x:c>
      <x:c r="I3" s="12" t="str">
        <x:v>Environmental conservation, education, healthcare, sports adventure and eco-tourism development.</x:v>
      </x:c>
      <x:c r="J3" s="12" t="str"/>
      <x:c r="K3" s="12" t="str"/>
      <x:c r="L3" s="12" t="str"/>
      <x:c r="M3" s="12" t="str">
        <x:v>https://ngobase.org/stwa/IN.JK/ENC/environment-and-climate-ngos-charities-jammu-and-kashmir</x:v>
      </x:c>
      <x:c r="N3" s="12" t="str">
        <x:v>Tier 2 - Directory / public listing</x:v>
      </x:c>
      <x:c r="O3" s="12" t="str">
        <x:v>NGO reach; DRR; awareness; community action</x:v>
      </x:c>
      <x:c r="P3" s="12" t="str">
        <x:v>Medium</x:v>
      </x:c>
      <x:c r="Q3" s="12" t="str">
        <x:v>Seed record - verify before outreach</x:v>
      </x:c>
      <x:c r="R3" s="14" t="str">
        <x:v>2026-07-08</x:v>
      </x:c>
    </x:row>
    <x:row r="4">
      <x:c r="A4" s="12" t="n">
        <x:v>3</x:v>
      </x:c>
      <x:c r="B4" s="12" t="str">
        <x:v>Jammu &amp; Kashmir</x:v>
      </x:c>
      <x:c r="C4" s="12" t="str">
        <x:v>Srinagar</x:v>
      </x:c>
      <x:c r="D4" s="12" t="str">
        <x:v>India</x:v>
      </x:c>
      <x:c r="E4" s="12" t="str">
        <x:v>Elfa International</x:v>
      </x:c>
      <x:c r="F4" s="12" t="str">
        <x:v>NGO / Charity</x:v>
      </x:c>
      <x:c r="G4" s="12" t="str">
        <x:v>Disaster Relief</x:v>
      </x:c>
      <x:c r="H4" s="12" t="str">
        <x:v>Community outreach; welfare; education</x:v>
      </x:c>
      <x:c r="I4" s="12" t="str">
        <x:v>Education, livelihood, health services, environmental education and humanitarian aid.</x:v>
      </x:c>
      <x:c r="J4" s="12" t="str"/>
      <x:c r="K4" s="12" t="str"/>
      <x:c r="L4" s="12" t="str"/>
      <x:c r="M4" s="12" t="str">
        <x:v>https://ngobase.org/stwa/IN.JK/ENC/environment-and-climate-ngos-charities-jammu-and-kashmir</x:v>
      </x:c>
      <x:c r="N4" s="12" t="str">
        <x:v>Tier 2 - Directory / public listing</x:v>
      </x:c>
      <x:c r="O4" s="12" t="str">
        <x:v>NGO reach; DRR; awareness; community action</x:v>
      </x:c>
      <x:c r="P4" s="12" t="str">
        <x:v>Medium</x:v>
      </x:c>
      <x:c r="Q4" s="12" t="str">
        <x:v>Seed record - verify before outreach</x:v>
      </x:c>
      <x:c r="R4" s="14" t="str">
        <x:v>2026-07-08</x:v>
      </x:c>
    </x:row>
    <x:row r="5">
      <x:c r="A5" s="12" t="n">
        <x:v>4</x:v>
      </x:c>
      <x:c r="B5" s="12" t="str">
        <x:v>Jammu &amp; Kashmir</x:v>
      </x:c>
      <x:c r="C5" s="12" t="str">
        <x:v>Jammu</x:v>
      </x:c>
      <x:c r="D5" s="12" t="str">
        <x:v>India</x:v>
      </x:c>
      <x:c r="E5" s="12" t="str">
        <x:v>Hope Disability Center</x:v>
      </x:c>
      <x:c r="F5" s="12" t="str">
        <x:v>NGO / Charity</x:v>
      </x:c>
      <x:c r="G5" s="12" t="str">
        <x:v>Disaster Risk Reduction</x:v>
      </x:c>
      <x:c r="H5" s="12" t="str">
        <x:v>Community outreach; welfare; education</x:v>
      </x:c>
      <x:c r="I5" s="12" t="str">
        <x:v>Disability support, rehabilitation, livelihoods, inclusive education, DRR and public health.</x:v>
      </x:c>
      <x:c r="J5" s="12" t="str"/>
      <x:c r="K5" s="12" t="str"/>
      <x:c r="L5" s="12" t="str"/>
      <x:c r="M5" s="12" t="str">
        <x:v>https://ngobase.org/stwa/IN.JK/ENC/environment-and-climate-ngos-charities-jammu-and-kashmir</x:v>
      </x:c>
      <x:c r="N5" s="12" t="str">
        <x:v>Tier 2 - Directory / public listing</x:v>
      </x:c>
      <x:c r="O5" s="12" t="str">
        <x:v>NGO reach; DRR; awareness; community action</x:v>
      </x:c>
      <x:c r="P5" s="12" t="str">
        <x:v>Medium</x:v>
      </x:c>
      <x:c r="Q5" s="12" t="str">
        <x:v>Seed record - verify before outreach</x:v>
      </x:c>
      <x:c r="R5" s="14" t="str">
        <x:v>2026-07-08</x:v>
      </x:c>
    </x:row>
    <x:row r="6">
      <x:c r="A6" s="12" t="n">
        <x:v>5</x:v>
      </x:c>
      <x:c r="B6" s="12" t="str">
        <x:v>Jammu &amp; Kashmir</x:v>
      </x:c>
      <x:c r="C6" s="12" t="str">
        <x:v>Srinagar</x:v>
      </x:c>
      <x:c r="D6" s="12" t="str">
        <x:v>India</x:v>
      </x:c>
      <x:c r="E6" s="12" t="str">
        <x:v>CHINAR Kashmir</x:v>
      </x:c>
      <x:c r="F6" s="12" t="str">
        <x:v>NGO / Charity</x:v>
      </x:c>
      <x:c r="G6" s="12" t="str">
        <x:v>Disaster Relief</x:v>
      </x:c>
      <x:c r="H6" s="12" t="str">
        <x:v>Community outreach; welfare; education</x:v>
      </x:c>
      <x:c r="I6" s="12" t="str">
        <x:v>Education, healthcare, relief, skill development and housing assistance.</x:v>
      </x:c>
      <x:c r="J6" s="12" t="str"/>
      <x:c r="K6" s="12" t="str"/>
      <x:c r="L6" s="12" t="str"/>
      <x:c r="M6" s="12" t="str">
        <x:v>https://ngobase.org/stwa/IN.JK/ENC/environment-and-climate-ngos-charities-jammu-and-kashmir</x:v>
      </x:c>
      <x:c r="N6" s="12" t="str">
        <x:v>Tier 2 - Directory / public listing</x:v>
      </x:c>
      <x:c r="O6" s="12" t="str">
        <x:v>NGO reach; DRR; awareness; community action</x:v>
      </x:c>
      <x:c r="P6" s="12" t="str">
        <x:v>Medium</x:v>
      </x:c>
      <x:c r="Q6" s="12" t="str">
        <x:v>Seed record - verify before outreach</x:v>
      </x:c>
      <x:c r="R6" s="14" t="str">
        <x:v>2026-07-08</x:v>
      </x:c>
    </x:row>
    <x:row r="7">
      <x:c r="A7" s="12" t="n">
        <x:v>6</x:v>
      </x:c>
      <x:c r="B7" s="12" t="str">
        <x:v>Jammu &amp; Kashmir</x:v>
      </x:c>
      <x:c r="C7" s="12" t="str">
        <x:v>Jammu</x:v>
      </x:c>
      <x:c r="D7" s="12" t="str">
        <x:v>India</x:v>
      </x:c>
      <x:c r="E7" s="12" t="str">
        <x:v>Sharva Aikyam Foundation</x:v>
      </x:c>
      <x:c r="F7" s="12" t="str">
        <x:v>NGO / Charity</x:v>
      </x:c>
      <x:c r="G7" s="12" t="str">
        <x:v>Environment Protection</x:v>
      </x:c>
      <x:c r="H7" s="12" t="str">
        <x:v>Community outreach; welfare; education</x:v>
      </x:c>
      <x:c r="I7" s="12" t="str">
        <x:v>Food kits, blood donations, hygiene and volunteer support; environment protection listing.</x:v>
      </x:c>
      <x:c r="J7" s="12" t="str"/>
      <x:c r="K7" s="12" t="str"/>
      <x:c r="L7" s="12" t="str"/>
      <x:c r="M7" s="12" t="str">
        <x:v>https://ngobase.org/stwa/IN.JK/ENC/environment-and-climate-ngos-charities-jammu-and-kashmir</x:v>
      </x:c>
      <x:c r="N7" s="12" t="str">
        <x:v>Tier 2 - Directory / public listing</x:v>
      </x:c>
      <x:c r="O7" s="12" t="str">
        <x:v>NGO reach; DRR; awareness; community action</x:v>
      </x:c>
      <x:c r="P7" s="12" t="str">
        <x:v>Medium</x:v>
      </x:c>
      <x:c r="Q7" s="12" t="str">
        <x:v>Seed record - verify before outreach</x:v>
      </x:c>
      <x:c r="R7" s="14" t="str">
        <x:v>2026-07-08</x:v>
      </x:c>
    </x:row>
    <x:row r="8">
      <x:c r="A8" s="12" t="n">
        <x:v>7</x:v>
      </x:c>
      <x:c r="B8" s="12" t="str">
        <x:v>Jammu &amp; Kashmir</x:v>
      </x:c>
      <x:c r="C8" s="12" t="str">
        <x:v>Jammu/Poonch</x:v>
      </x:c>
      <x:c r="D8" s="12" t="str">
        <x:v>India</x:v>
      </x:c>
      <x:c r="E8" s="12" t="str">
        <x:v>Pulastya Foundation - POONCH</x:v>
      </x:c>
      <x:c r="F8" s="12" t="str">
        <x:v>NGO / Charity</x:v>
      </x:c>
      <x:c r="G8" s="12" t="str">
        <x:v>Environment Protection</x:v>
      </x:c>
      <x:c r="H8" s="12" t="str">
        <x:v>Community outreach; welfare; education</x:v>
      </x:c>
      <x:c r="I8" s="12" t="str">
        <x:v>Environment protection and free healthcare listing.</x:v>
      </x:c>
      <x:c r="J8" s="12" t="str"/>
      <x:c r="K8" s="12" t="str"/>
      <x:c r="L8" s="12" t="str"/>
      <x:c r="M8" s="12" t="str">
        <x:v>https://ngobase.org/stwa/IN.JK/ENC/environment-and-climate-ngos-charities-jammu-and-kashmir</x:v>
      </x:c>
      <x:c r="N8" s="12" t="str">
        <x:v>Tier 2 - Directory / public listing</x:v>
      </x:c>
      <x:c r="O8" s="12" t="str">
        <x:v>NGO reach; DRR; awareness; community action</x:v>
      </x:c>
      <x:c r="P8" s="12" t="str">
        <x:v>Medium</x:v>
      </x:c>
      <x:c r="Q8" s="12" t="str">
        <x:v>Seed record - verify before outreach</x:v>
      </x:c>
      <x:c r="R8" s="14" t="str">
        <x:v>2026-07-08</x:v>
      </x:c>
    </x:row>
    <x:row r="9">
      <x:c r="A9" s="12" t="n">
        <x:v>8</x:v>
      </x:c>
      <x:c r="B9" s="12" t="str">
        <x:v>Jammu &amp; Kashmir</x:v>
      </x:c>
      <x:c r="C9" s="12" t="str">
        <x:v>Jammu</x:v>
      </x:c>
      <x:c r="D9" s="12" t="str">
        <x:v>India</x:v>
      </x:c>
      <x:c r="E9" s="12" t="str">
        <x:v>Catholic Social Service Society</x:v>
      </x:c>
      <x:c r="F9" s="12" t="str">
        <x:v>NGO / Charity</x:v>
      </x:c>
      <x:c r="G9" s="12" t="str">
        <x:v>Disaster Relief</x:v>
      </x:c>
      <x:c r="H9" s="12" t="str">
        <x:v>Community outreach; welfare; education</x:v>
      </x:c>
      <x:c r="I9" s="12" t="str">
        <x:v>Microcredit, livelihood, PWD rights, inclusive education and disaster risk reduction.</x:v>
      </x:c>
      <x:c r="J9" s="12" t="str"/>
      <x:c r="K9" s="12" t="str"/>
      <x:c r="L9" s="12" t="str"/>
      <x:c r="M9" s="12" t="str">
        <x:v>https://ngobase.org/stwa/IN.JK/ENC/environment-and-climate-ngos-charities-jammu-and-kashmir</x:v>
      </x:c>
      <x:c r="N9" s="12" t="str">
        <x:v>Tier 2 - Directory / public listing</x:v>
      </x:c>
      <x:c r="O9" s="12" t="str">
        <x:v>NGO reach; DRR; awareness; community action</x:v>
      </x:c>
      <x:c r="P9" s="12" t="str">
        <x:v>Medium</x:v>
      </x:c>
      <x:c r="Q9" s="12" t="str">
        <x:v>Seed record - verify before outreach</x:v>
      </x:c>
      <x:c r="R9" s="14" t="str">
        <x:v>2026-07-08</x:v>
      </x:c>
    </x:row>
    <x:row r="10">
      <x:c r="A10" s="12" t="n">
        <x:v>9</x:v>
      </x:c>
      <x:c r="B10" s="12" t="str">
        <x:v>Jammu &amp; Kashmir</x:v>
      </x:c>
      <x:c r="C10" s="12" t="str">
        <x:v>Srinagar</x:v>
      </x:c>
      <x:c r="D10" s="12" t="str">
        <x:v>India</x:v>
      </x:c>
      <x:c r="E10" s="12" t="str">
        <x:v>Kashmir Charity</x:v>
      </x:c>
      <x:c r="F10" s="12" t="str">
        <x:v>NGO / Charity</x:v>
      </x:c>
      <x:c r="G10" s="12" t="str">
        <x:v>Environment Protection</x:v>
      </x:c>
      <x:c r="H10" s="12" t="str">
        <x:v>Community outreach; welfare; education</x:v>
      </x:c>
      <x:c r="I10" s="12" t="str">
        <x:v>Education, poverty alleviation and environment protection listing.</x:v>
      </x:c>
      <x:c r="J10" s="12" t="str"/>
      <x:c r="K10" s="12" t="str"/>
      <x:c r="L10" s="12" t="str"/>
      <x:c r="M10" s="12" t="str">
        <x:v>https://ngobase.org/stwa/IN.JK/ENC/environment-and-climate-ngos-charities-jammu-and-kashmir</x:v>
      </x:c>
      <x:c r="N10" s="12" t="str">
        <x:v>Tier 2 - Directory / public listing</x:v>
      </x:c>
      <x:c r="O10" s="12" t="str">
        <x:v>NGO reach; DRR; awareness; community action</x:v>
      </x:c>
      <x:c r="P10" s="12" t="str">
        <x:v>Medium</x:v>
      </x:c>
      <x:c r="Q10" s="12" t="str">
        <x:v>Seed record - verify before outreach</x:v>
      </x:c>
      <x:c r="R10" s="14" t="str">
        <x:v>2026-07-08</x:v>
      </x:c>
    </x:row>
    <x:row r="11">
      <x:c r="A11" s="12" t="n">
        <x:v>10</x:v>
      </x:c>
      <x:c r="B11" s="12" t="str">
        <x:v>Jammu &amp; Kashmir</x:v>
      </x:c>
      <x:c r="C11" s="12" t="str">
        <x:v>Srinagar</x:v>
      </x:c>
      <x:c r="D11" s="12" t="str">
        <x:v>India</x:v>
      </x:c>
      <x:c r="E11" s="12" t="str">
        <x:v>GAASH Welfare Foundation</x:v>
      </x:c>
      <x:c r="F11" s="12" t="str">
        <x:v>NGO / Charity</x:v>
      </x:c>
      <x:c r="G11" s="12" t="str">
        <x:v>Wildlife / Disaster Relief</x:v>
      </x:c>
      <x:c r="H11" s="12" t="str">
        <x:v>Community outreach; welfare; education</x:v>
      </x:c>
      <x:c r="I11" s="12" t="str">
        <x:v>Health care, disaster relief and wildlife listing.</x:v>
      </x:c>
      <x:c r="J11" s="12" t="str"/>
      <x:c r="K11" s="12" t="str"/>
      <x:c r="L11" s="12" t="str"/>
      <x:c r="M11" s="12" t="str">
        <x:v>https://ngobase.org/stwa/IN.JK/ENC/environment-and-climate-ngos-charities-jammu-and-kashmir</x:v>
      </x:c>
      <x:c r="N11" s="12" t="str">
        <x:v>Tier 2 - Directory / public listing</x:v>
      </x:c>
      <x:c r="O11" s="12" t="str">
        <x:v>NGO reach; DRR; awareness; community action</x:v>
      </x:c>
      <x:c r="P11" s="12" t="str">
        <x:v>Medium</x:v>
      </x:c>
      <x:c r="Q11" s="12" t="str">
        <x:v>Seed record - verify before outreach</x:v>
      </x:c>
      <x:c r="R11" s="14" t="str">
        <x:v>2026-07-08</x:v>
      </x:c>
    </x:row>
    <x:row r="12">
      <x:c r="A12" s="12" t="n">
        <x:v>11</x:v>
      </x:c>
      <x:c r="B12" s="12" t="str">
        <x:v>Jammu &amp; Kashmir</x:v>
      </x:c>
      <x:c r="C12" s="12" t="str">
        <x:v>Jammu/Kathua</x:v>
      </x:c>
      <x:c r="D12" s="12" t="str">
        <x:v>India</x:v>
      </x:c>
      <x:c r="E12" s="12" t="str">
        <x:v>Gokul Goshala Kathua, Jammu-official.</x:v>
      </x:c>
      <x:c r="F12" s="12" t="str">
        <x:v>Animal Welfare NGO</x:v>
      </x:c>
      <x:c r="G12" s="12" t="str">
        <x:v>Animal Welfare</x:v>
      </x:c>
      <x:c r="H12" s="12" t="str">
        <x:v>Urban ecology; humane management</x:v>
      </x:c>
      <x:c r="I12" s="12" t="str">
        <x:v>Animal welfare and rescue.</x:v>
      </x:c>
      <x:c r="J12" s="12" t="str"/>
      <x:c r="K12" s="12" t="str"/>
      <x:c r="L12" s="12" t="str"/>
      <x:c r="M12" s="12" t="str">
        <x:v>https://ngobase.org/stwa/IN.JK/ANM/animals-ngos-charities-jammu-and-kashmir</x:v>
      </x:c>
      <x:c r="N12" s="12" t="str">
        <x:v>Tier 2 - Directory / public listing</x:v>
      </x:c>
      <x:c r="O12" s="12" t="str">
        <x:v>Animal welfare; urban ecological conflict; stray animal response</x:v>
      </x:c>
      <x:c r="P12" s="12" t="str">
        <x:v>Medium</x:v>
      </x:c>
      <x:c r="Q12" s="12" t="str">
        <x:v>Seed record - verify before outreach</x:v>
      </x:c>
      <x:c r="R12" s="14" t="str">
        <x:v>2026-07-08</x:v>
      </x:c>
    </x:row>
    <x:row r="13">
      <x:c r="A13" s="12" t="n">
        <x:v>12</x:v>
      </x:c>
      <x:c r="B13" s="12" t="str">
        <x:v>Jammu &amp; Kashmir</x:v>
      </x:c>
      <x:c r="C13" s="12" t="str">
        <x:v>Jammu</x:v>
      </x:c>
      <x:c r="D13" s="12" t="str">
        <x:v>India</x:v>
      </x:c>
      <x:c r="E13" s="12" t="str">
        <x:v>SAVE- Save Animals &amp; Value Environment</x:v>
      </x:c>
      <x:c r="F13" s="12" t="str">
        <x:v>Animal Welfare NGO</x:v>
      </x:c>
      <x:c r="G13" s="12" t="str">
        <x:v>Animal Welfare</x:v>
      </x:c>
      <x:c r="H13" s="12" t="str">
        <x:v>Urban ecology; humane management</x:v>
      </x:c>
      <x:c r="I13" s="12" t="str">
        <x:v>Animal rescue, emergency treatment, foster care and environmental value work.</x:v>
      </x:c>
      <x:c r="J13" s="12" t="str"/>
      <x:c r="K13" s="12" t="str"/>
      <x:c r="L13" s="12" t="str"/>
      <x:c r="M13" s="12" t="str">
        <x:v>https://ngobase.org/stwa/IN.JK/ANM/animals-ngos-charities-jammu-and-kashmir</x:v>
      </x:c>
      <x:c r="N13" s="12" t="str">
        <x:v>Tier 2 - Directory / public listing</x:v>
      </x:c>
      <x:c r="O13" s="12" t="str">
        <x:v>Animal welfare; urban ecological conflict; stray animal response</x:v>
      </x:c>
      <x:c r="P13" s="12" t="str">
        <x:v>Medium</x:v>
      </x:c>
      <x:c r="Q13" s="12" t="str">
        <x:v>Seed record - verify before outreach</x:v>
      </x:c>
      <x:c r="R13" s="14" t="str">
        <x:v>2026-07-08</x:v>
      </x:c>
    </x:row>
    <x:row r="14">
      <x:c r="A14" s="12" t="n">
        <x:v>13</x:v>
      </x:c>
      <x:c r="B14" s="12" t="str">
        <x:v>Jammu &amp; Kashmir</x:v>
      </x:c>
      <x:c r="C14" s="12" t="str">
        <x:v>Srinagar</x:v>
      </x:c>
      <x:c r="D14" s="12" t="str">
        <x:v>India</x:v>
      </x:c>
      <x:c r="E14" s="12" t="str">
        <x:v>KAWFCares</x:v>
      </x:c>
      <x:c r="F14" s="12" t="str">
        <x:v>Animal Welfare NGO</x:v>
      </x:c>
      <x:c r="G14" s="12" t="str">
        <x:v>Animal Welfare</x:v>
      </x:c>
      <x:c r="H14" s="12" t="str">
        <x:v>Urban ecology; humane management</x:v>
      </x:c>
      <x:c r="I14" s="12" t="str">
        <x:v>Animal welfare and rescue.</x:v>
      </x:c>
      <x:c r="J14" s="12" t="str"/>
      <x:c r="K14" s="12" t="str"/>
      <x:c r="L14" s="12" t="str"/>
      <x:c r="M14" s="12" t="str">
        <x:v>https://ngobase.org/stwa/IN.JK/ANM/animals-ngos-charities-jammu-and-kashmir</x:v>
      </x:c>
      <x:c r="N14" s="12" t="str">
        <x:v>Tier 2 - Directory / public listing</x:v>
      </x:c>
      <x:c r="O14" s="12" t="str">
        <x:v>Animal welfare; urban ecological conflict; stray animal response</x:v>
      </x:c>
      <x:c r="P14" s="12" t="str">
        <x:v>Medium</x:v>
      </x:c>
      <x:c r="Q14" s="12" t="str">
        <x:v>Seed record - verify before outreach</x:v>
      </x:c>
      <x:c r="R14" s="14" t="str">
        <x:v>2026-07-08</x:v>
      </x:c>
    </x:row>
    <x:row r="15">
      <x:c r="A15" s="12" t="n">
        <x:v>14</x:v>
      </x:c>
      <x:c r="B15" s="12" t="str">
        <x:v>Jammu &amp; Kashmir</x:v>
      </x:c>
      <x:c r="C15" s="12" t="str">
        <x:v>Jammu</x:v>
      </x:c>
      <x:c r="D15" s="12" t="str">
        <x:v>India</x:v>
      </x:c>
      <x:c r="E15" s="12" t="str">
        <x:v>Animal Rescue Kashmir</x:v>
      </x:c>
      <x:c r="F15" s="12" t="str">
        <x:v>Animal Welfare NGO</x:v>
      </x:c>
      <x:c r="G15" s="12" t="str">
        <x:v>Animal Welfare</x:v>
      </x:c>
      <x:c r="H15" s="12" t="str">
        <x:v>Urban ecology; humane management</x:v>
      </x:c>
      <x:c r="I15" s="12" t="str">
        <x:v>Animal welfare and rescue.</x:v>
      </x:c>
      <x:c r="J15" s="12" t="str"/>
      <x:c r="K15" s="12" t="str"/>
      <x:c r="L15" s="12" t="str"/>
      <x:c r="M15" s="12" t="str">
        <x:v>https://ngobase.org/stwa/IN.JK/ANM/animals-ngos-charities-jammu-and-kashmir</x:v>
      </x:c>
      <x:c r="N15" s="12" t="str">
        <x:v>Tier 2 - Directory / public listing</x:v>
      </x:c>
      <x:c r="O15" s="12" t="str">
        <x:v>Animal welfare; urban ecological conflict; stray animal response</x:v>
      </x:c>
      <x:c r="P15" s="12" t="str">
        <x:v>Medium</x:v>
      </x:c>
      <x:c r="Q15" s="12" t="str">
        <x:v>Seed record - verify before outreach</x:v>
      </x:c>
      <x:c r="R15" s="14" t="str">
        <x:v>2026-07-08</x:v>
      </x:c>
    </x:row>
    <x:row r="16">
      <x:c r="A16" s="12" t="n">
        <x:v>15</x:v>
      </x:c>
      <x:c r="B16" s="12" t="str">
        <x:v>Jammu &amp; Kashmir</x:v>
      </x:c>
      <x:c r="C16" s="12" t="str">
        <x:v>Jammu</x:v>
      </x:c>
      <x:c r="D16" s="12" t="str">
        <x:v>India</x:v>
      </x:c>
      <x:c r="E16" s="12" t="str">
        <x:v>Jaws, Paws &amp; Whiskers</x:v>
      </x:c>
      <x:c r="F16" s="12" t="str">
        <x:v>Animal Welfare NGO</x:v>
      </x:c>
      <x:c r="G16" s="12" t="str">
        <x:v>Animal Welfare</x:v>
      </x:c>
      <x:c r="H16" s="12" t="str">
        <x:v>Urban ecology; humane management</x:v>
      </x:c>
      <x:c r="I16" s="12" t="str">
        <x:v>Animal welfare and rescue.</x:v>
      </x:c>
      <x:c r="J16" s="12" t="str"/>
      <x:c r="K16" s="12" t="str"/>
      <x:c r="L16" s="12" t="str"/>
      <x:c r="M16" s="12" t="str">
        <x:v>https://ngobase.org/stwa/IN.JK/ANM/animals-ngos-charities-jammu-and-kashmir</x:v>
      </x:c>
      <x:c r="N16" s="12" t="str">
        <x:v>Tier 2 - Directory / public listing</x:v>
      </x:c>
      <x:c r="O16" s="12" t="str">
        <x:v>Animal welfare; urban ecological conflict; stray animal response</x:v>
      </x:c>
      <x:c r="P16" s="12" t="str">
        <x:v>Medium</x:v>
      </x:c>
      <x:c r="Q16" s="12" t="str">
        <x:v>Seed record - verify before outreach</x:v>
      </x:c>
      <x:c r="R16" s="14" t="str">
        <x:v>2026-07-08</x:v>
      </x:c>
    </x:row>
    <x:row r="17">
      <x:c r="A17" s="12" t="n">
        <x:v>16</x:v>
      </x:c>
      <x:c r="B17" s="12" t="str">
        <x:v>Jammu &amp; Kashmir</x:v>
      </x:c>
      <x:c r="C17" s="12" t="str">
        <x:v>Jammu</x:v>
      </x:c>
      <x:c r="D17" s="12" t="str">
        <x:v>India</x:v>
      </x:c>
      <x:c r="E17" s="12" t="str">
        <x:v>Hakhoo Street Animals Foundation</x:v>
      </x:c>
      <x:c r="F17" s="12" t="str">
        <x:v>Animal Welfare NGO</x:v>
      </x:c>
      <x:c r="G17" s="12" t="str">
        <x:v>Animal Welfare</x:v>
      </x:c>
      <x:c r="H17" s="12" t="str">
        <x:v>Urban ecology; humane management</x:v>
      </x:c>
      <x:c r="I17" s="12" t="str">
        <x:v>Shelter/care for disabled street animals.</x:v>
      </x:c>
      <x:c r="J17" s="12" t="str"/>
      <x:c r="K17" s="12" t="str"/>
      <x:c r="L17" s="12" t="str"/>
      <x:c r="M17" s="12" t="str">
        <x:v>https://ngobase.org/stwa/IN.JK/ANM/animals-ngos-charities-jammu-and-kashmir</x:v>
      </x:c>
      <x:c r="N17" s="12" t="str">
        <x:v>Tier 2 - Directory / public listing</x:v>
      </x:c>
      <x:c r="O17" s="12" t="str">
        <x:v>Animal welfare; urban ecological conflict; stray animal response</x:v>
      </x:c>
      <x:c r="P17" s="12" t="str">
        <x:v>Medium</x:v>
      </x:c>
      <x:c r="Q17" s="12" t="str">
        <x:v>Seed record - verify before outreach</x:v>
      </x:c>
      <x:c r="R17" s="14" t="str">
        <x:v>2026-07-08</x:v>
      </x:c>
    </x:row>
    <x:row r="18">
      <x:c r="A18" s="12" t="n">
        <x:v>17</x:v>
      </x:c>
      <x:c r="B18" s="12" t="str">
        <x:v>Jammu &amp; Kashmir</x:v>
      </x:c>
      <x:c r="C18" s="12" t="str">
        <x:v>Udhampur</x:v>
      </x:c>
      <x:c r="D18" s="12" t="str">
        <x:v>India</x:v>
      </x:c>
      <x:c r="E18" s="12" t="str">
        <x:v>ON THE MARK PEDAGOGY FOUNDATION</x:v>
      </x:c>
      <x:c r="F18" s="12" t="str">
        <x:v>DARPAN-listed NGO</x:v>
      </x:c>
      <x:c r="G18" s="12" t="str">
        <x:v>Environment &amp; Forests</x:v>
      </x:c>
      <x:c r="H18" s="12" t="str">
        <x:v>Potential community partner</x:v>
      </x:c>
      <x:c r="I18" s="12" t="str">
        <x:v>DARPAN sample record: sectors include Environment &amp; Forests, education, health, legal awareness and skill development.</x:v>
      </x:c>
      <x:c r="J18" s="12" t="str"/>
      <x:c r="K18" s="12" t="str"/>
      <x:c r="L18" s="12" t="str"/>
      <x:c r="M18" s="12" t="str">
        <x:v>https://dataful.in/datasets/18956/</x:v>
      </x:c>
      <x:c r="N18" s="12" t="str">
        <x:v>Tier 1 - Official dataset preview</x:v>
      </x:c>
      <x:c r="O18" s="12" t="str">
        <x:v>Registration intelligence; NGO mapping</x:v>
      </x:c>
      <x:c r="P18" s="12" t="str">
        <x:v>Medium</x:v>
      </x:c>
      <x:c r="Q18" s="12" t="str">
        <x:v>Seed record - verify before outreach</x:v>
      </x:c>
      <x:c r="R18" s="14" t="str">
        <x:v>2026-07-08</x:v>
      </x:c>
    </x:row>
    <x:row r="19">
      <x:c r="A19" s="12" t="n">
        <x:v>18</x:v>
      </x:c>
      <x:c r="B19" s="12" t="str">
        <x:v>Jammu &amp; Kashmir</x:v>
      </x:c>
      <x:c r="C19" s="12" t="str">
        <x:v>Anantnag</x:v>
      </x:c>
      <x:c r="D19" s="12" t="str">
        <x:v>India</x:v>
      </x:c>
      <x:c r="E19" s="12" t="str">
        <x:v>ANIMAL AID KASHMIR</x:v>
      </x:c>
      <x:c r="F19" s="12" t="str">
        <x:v>DARPAN-listed NGO</x:v>
      </x:c>
      <x:c r="G19" s="12" t="str">
        <x:v>Animal Welfare</x:v>
      </x:c>
      <x:c r="H19" s="12" t="str">
        <x:v>Potential community partner</x:v>
      </x:c>
      <x:c r="I19" s="12" t="str">
        <x:v>DARPAN sample record: animal welfare and nutrition; registered in Anantnag.</x:v>
      </x:c>
      <x:c r="J19" s="12" t="str"/>
      <x:c r="K19" s="12" t="str"/>
      <x:c r="L19" s="12" t="str"/>
      <x:c r="M19" s="12" t="str">
        <x:v>https://dataful.in/datasets/18956/</x:v>
      </x:c>
      <x:c r="N19" s="12" t="str">
        <x:v>Tier 1 - Official dataset preview</x:v>
      </x:c>
      <x:c r="O19" s="12" t="str">
        <x:v>Registration intelligence; NGO mapping</x:v>
      </x:c>
      <x:c r="P19" s="12" t="str">
        <x:v>Medium</x:v>
      </x:c>
      <x:c r="Q19" s="12" t="str">
        <x:v>Seed record - verify before outreach</x:v>
      </x:c>
      <x:c r="R19" s="14" t="str">
        <x:v>2026-07-08</x:v>
      </x:c>
    </x:row>
    <x:row r="20">
      <x:c r="A20" s="12" t="n">
        <x:v>19</x:v>
      </x:c>
      <x:c r="B20" s="12" t="str">
        <x:v>Jammu &amp; Kashmir</x:v>
      </x:c>
      <x:c r="C20" s="12" t="str">
        <x:v>Kishtwar</x:v>
      </x:c>
      <x:c r="D20" s="12" t="str">
        <x:v>India</x:v>
      </x:c>
      <x:c r="E20" s="12" t="str">
        <x:v>Veer Bhoomi Trust Kishtwar</x:v>
      </x:c>
      <x:c r="F20" s="12" t="str">
        <x:v>DARPAN-listed NGO</x:v>
      </x:c>
      <x:c r="G20" s="12" t="str">
        <x:v>Environment &amp; Forests</x:v>
      </x:c>
      <x:c r="H20" s="12" t="str">
        <x:v>Potential community partner</x:v>
      </x:c>
      <x:c r="I20" s="12" t="str">
        <x:v>DARPAN sample record: sectors include agriculture, environment &amp; forests, water resources, science &amp; technology and rural development.</x:v>
      </x:c>
      <x:c r="J20" s="12" t="str"/>
      <x:c r="K20" s="12" t="str"/>
      <x:c r="L20" s="12" t="str"/>
      <x:c r="M20" s="12" t="str">
        <x:v>https://dataful.in/datasets/18956/</x:v>
      </x:c>
      <x:c r="N20" s="12" t="str">
        <x:v>Tier 1 - Official dataset preview</x:v>
      </x:c>
      <x:c r="O20" s="12" t="str">
        <x:v>Registration intelligence; NGO mapping</x:v>
      </x:c>
      <x:c r="P20" s="12" t="str">
        <x:v>Medium</x:v>
      </x:c>
      <x:c r="Q20" s="12" t="str">
        <x:v>Seed record - verify before outreach</x:v>
      </x:c>
      <x:c r="R20" s="14" t="str">
        <x:v>2026-07-08</x:v>
      </x:c>
    </x:row>
    <x:row r="21">
      <x:c r="A21" s="12" t="n">
        <x:v>20</x:v>
      </x:c>
      <x:c r="B21" s="12" t="str">
        <x:v>Jammu &amp; Kashmir</x:v>
      </x:c>
      <x:c r="C21" s="12" t="str">
        <x:v>Reasi</x:v>
      </x:c>
      <x:c r="D21" s="12" t="str">
        <x:v>India</x:v>
      </x:c>
      <x:c r="E21" s="12" t="str">
        <x:v>Jamia Abu Bakar Sadeeq Educational and Charitable Trust</x:v>
      </x:c>
      <x:c r="F21" s="12" t="str">
        <x:v>DARPAN-listed NGO</x:v>
      </x:c>
      <x:c r="G21" s="12" t="str">
        <x:v>Indirect / Education</x:v>
      </x:c>
      <x:c r="H21" s="12" t="str">
        <x:v>Potential community partner</x:v>
      </x:c>
      <x:c r="I21" s="12" t="str">
        <x:v>DARPAN sample record; not primarily environmental in preview.</x:v>
      </x:c>
      <x:c r="J21" s="12" t="str"/>
      <x:c r="K21" s="12" t="str"/>
      <x:c r="L21" s="12" t="str"/>
      <x:c r="M21" s="12" t="str">
        <x:v>https://dataful.in/datasets/18956/</x:v>
      </x:c>
      <x:c r="N21" s="12" t="str">
        <x:v>Tier 1 - Official dataset preview</x:v>
      </x:c>
      <x:c r="O21" s="12" t="str">
        <x:v>Registration intelligence; NGO mapping</x:v>
      </x:c>
      <x:c r="P21" s="12" t="str">
        <x:v>Low</x:v>
      </x:c>
      <x:c r="Q21" s="12" t="str">
        <x:v>Seed record - verify before outreach</x:v>
      </x:c>
      <x:c r="R21" s="14" t="str">
        <x:v>2026-07-08</x:v>
      </x:c>
    </x:row>
    <x:row r="22">
      <x:c r="A22" s="12" t="n">
        <x:v>21</x:v>
      </x:c>
      <x:c r="B22" s="12" t="str">
        <x:v>Jammu &amp; Kashmir</x:v>
      </x:c>
      <x:c r="C22" s="12" t="str">
        <x:v>Baramulla</x:v>
      </x:c>
      <x:c r="D22" s="12" t="str">
        <x:v>India</x:v>
      </x:c>
      <x:c r="E22" s="12" t="str">
        <x:v>The Mehjoor Ari Embroidery Industrial Cooperative Limited Buran</x:v>
      </x:c>
      <x:c r="F22" s="12" t="str">
        <x:v>DARPAN-listed NGO</x:v>
      </x:c>
      <x:c r="G22" s="12" t="str">
        <x:v>Indirect / Livelihood</x:v>
      </x:c>
      <x:c r="H22" s="12" t="str">
        <x:v>Potential community partner</x:v>
      </x:c>
      <x:c r="I22" s="12" t="str">
        <x:v>DARPAN sample record; useful for community/livelihood mapping, not core environment.</x:v>
      </x:c>
      <x:c r="J22" s="12" t="str"/>
      <x:c r="K22" s="12" t="str"/>
      <x:c r="L22" s="12" t="str"/>
      <x:c r="M22" s="12" t="str">
        <x:v>https://dataful.in/datasets/18956/</x:v>
      </x:c>
      <x:c r="N22" s="12" t="str">
        <x:v>Tier 1 - Official dataset preview</x:v>
      </x:c>
      <x:c r="O22" s="12" t="str">
        <x:v>Registration intelligence; NGO mapping</x:v>
      </x:c>
      <x:c r="P22" s="12" t="str">
        <x:v>Low</x:v>
      </x:c>
      <x:c r="Q22" s="12" t="str">
        <x:v>Seed record - verify before outreach</x:v>
      </x:c>
      <x:c r="R22" s="14" t="str">
        <x:v>2026-07-08</x:v>
      </x:c>
    </x:row>
    <x:row r="23">
      <x:c r="A23" s="12" t="n">
        <x:v>22</x:v>
      </x:c>
      <x:c r="B23" s="12" t="str">
        <x:v>Jammu &amp; Kashmir</x:v>
      </x:c>
      <x:c r="C23" s="12" t="str">
        <x:v>Kathua</x:v>
      </x:c>
      <x:c r="D23" s="12" t="str">
        <x:v>India</x:v>
      </x:c>
      <x:c r="E23" s="12" t="str">
        <x:v>Shri Radha Kunj Assram</x:v>
      </x:c>
      <x:c r="F23" s="12" t="str">
        <x:v>DARPAN-listed NGO</x:v>
      </x:c>
      <x:c r="G23" s="12" t="str">
        <x:v>Indirect / Community</x:v>
      </x:c>
      <x:c r="H23" s="12" t="str">
        <x:v>Potential community partner</x:v>
      </x:c>
      <x:c r="I23" s="12" t="str">
        <x:v>DARPAN sample record; verify relevance.</x:v>
      </x:c>
      <x:c r="J23" s="12" t="str"/>
      <x:c r="K23" s="12" t="str"/>
      <x:c r="L23" s="12" t="str"/>
      <x:c r="M23" s="12" t="str">
        <x:v>https://dataful.in/datasets/18956/</x:v>
      </x:c>
      <x:c r="N23" s="12" t="str">
        <x:v>Tier 1 - Official dataset preview</x:v>
      </x:c>
      <x:c r="O23" s="12" t="str">
        <x:v>Registration intelligence; NGO mapping</x:v>
      </x:c>
      <x:c r="P23" s="12" t="str">
        <x:v>Low</x:v>
      </x:c>
      <x:c r="Q23" s="12" t="str">
        <x:v>Seed record - verify before outreach</x:v>
      </x:c>
      <x:c r="R23" s="14" t="str">
        <x:v>2026-07-08</x:v>
      </x:c>
    </x:row>
    <x:row r="24">
      <x:c r="A24" s="12" t="n">
        <x:v>23</x:v>
      </x:c>
      <x:c r="B24" s="12" t="str">
        <x:v>Jammu &amp; Kashmir</x:v>
      </x:c>
      <x:c r="C24" s="12" t="str">
        <x:v>Rajouri</x:v>
      </x:c>
      <x:c r="D24" s="12" t="str">
        <x:v>India</x:v>
      </x:c>
      <x:c r="E24" s="12" t="str">
        <x:v>Darul Uloom Nazamia Educational, Welfare &amp; Charity Trust</x:v>
      </x:c>
      <x:c r="F24" s="12" t="str">
        <x:v>DARPAN-listed NGO</x:v>
      </x:c>
      <x:c r="G24" s="12" t="str">
        <x:v>Indirect / Housing/Labour</x:v>
      </x:c>
      <x:c r="H24" s="12" t="str">
        <x:v>Potential community partner</x:v>
      </x:c>
      <x:c r="I24" s="12" t="str">
        <x:v>DARPAN sample record; verify relevance.</x:v>
      </x:c>
      <x:c r="J24" s="12" t="str"/>
      <x:c r="K24" s="12" t="str"/>
      <x:c r="L24" s="12" t="str"/>
      <x:c r="M24" s="12" t="str">
        <x:v>https://dataful.in/datasets/18956/</x:v>
      </x:c>
      <x:c r="N24" s="12" t="str">
        <x:v>Tier 1 - Official dataset preview</x:v>
      </x:c>
      <x:c r="O24" s="12" t="str">
        <x:v>Registration intelligence; NGO mapping</x:v>
      </x:c>
      <x:c r="P24" s="12" t="str">
        <x:v>Low</x:v>
      </x:c>
      <x:c r="Q24" s="12" t="str">
        <x:v>Seed record - verify before outreach</x:v>
      </x:c>
      <x:c r="R24" s="14" t="str">
        <x:v>2026-07-08</x:v>
      </x:c>
    </x:row>
    <x:row r="25">
      <x:c r="A25" s="12" t="n">
        <x:v>24</x:v>
      </x:c>
      <x:c r="B25" s="12" t="str">
        <x:v>Jammu &amp; Kashmir</x:v>
      </x:c>
      <x:c r="C25" s="12" t="str">
        <x:v>Jammu</x:v>
      </x:c>
      <x:c r="D25" s="12" t="str">
        <x:v>India</x:v>
      </x:c>
      <x:c r="E25" s="12" t="str">
        <x:v>Mahajan Sabha Channi Himmat</x:v>
      </x:c>
      <x:c r="F25" s="12" t="str">
        <x:v>DARPAN-listed NGO</x:v>
      </x:c>
      <x:c r="G25" s="12" t="str">
        <x:v>Indirect / Community</x:v>
      </x:c>
      <x:c r="H25" s="12" t="str">
        <x:v>Potential community partner</x:v>
      </x:c>
      <x:c r="I25" s="12" t="str">
        <x:v>DARPAN sample record; verify relevance.</x:v>
      </x:c>
      <x:c r="J25" s="12" t="str"/>
      <x:c r="K25" s="12" t="str"/>
      <x:c r="L25" s="12" t="str"/>
      <x:c r="M25" s="12" t="str">
        <x:v>https://dataful.in/datasets/18956/</x:v>
      </x:c>
      <x:c r="N25" s="12" t="str">
        <x:v>Tier 1 - Official dataset preview</x:v>
      </x:c>
      <x:c r="O25" s="12" t="str">
        <x:v>Registration intelligence; NGO mapping</x:v>
      </x:c>
      <x:c r="P25" s="12" t="str">
        <x:v>Low</x:v>
      </x:c>
      <x:c r="Q25" s="12" t="str">
        <x:v>Seed record - verify before outreach</x:v>
      </x:c>
      <x:c r="R25" s="14" t="str">
        <x:v>2026-07-08</x:v>
      </x:c>
    </x:row>
    <x:row r="26">
      <x:c r="A26" s="12" t="n">
        <x:v>25</x:v>
      </x:c>
      <x:c r="B26" s="12" t="str">
        <x:v>Jammu &amp; Kashmir</x:v>
      </x:c>
      <x:c r="C26" s="12" t="str">
        <x:v>Jammu</x:v>
      </x:c>
      <x:c r="D26" s="12" t="str">
        <x:v>India</x:v>
      </x:c>
      <x:c r="E26" s="12" t="str">
        <x:v>Baba Barfani Sewa Samiti</x:v>
      </x:c>
      <x:c r="F26" s="12" t="str">
        <x:v>DARPAN-listed NGO</x:v>
      </x:c>
      <x:c r="G26" s="12" t="str">
        <x:v>Indirect / Religious/Food</x:v>
      </x:c>
      <x:c r="H26" s="12" t="str">
        <x:v>Potential community partner</x:v>
      </x:c>
      <x:c r="I26" s="12" t="str">
        <x:v>DARPAN sample record; verify relevance.</x:v>
      </x:c>
      <x:c r="J26" s="12" t="str"/>
      <x:c r="K26" s="12" t="str"/>
      <x:c r="L26" s="12" t="str"/>
      <x:c r="M26" s="12" t="str">
        <x:v>https://dataful.in/datasets/18956/</x:v>
      </x:c>
      <x:c r="N26" s="12" t="str">
        <x:v>Tier 1 - Official dataset preview</x:v>
      </x:c>
      <x:c r="O26" s="12" t="str">
        <x:v>Registration intelligence; NGO mapping</x:v>
      </x:c>
      <x:c r="P26" s="12" t="str">
        <x:v>Low</x:v>
      </x:c>
      <x:c r="Q26" s="12" t="str">
        <x:v>Seed record - verify before outreach</x:v>
      </x:c>
      <x:c r="R26" s="14" t="str">
        <x:v>2026-07-08</x:v>
      </x:c>
    </x:row>
    <x:row r="27">
      <x:c r="A27" s="12" t="n">
        <x:v>26</x:v>
      </x:c>
      <x:c r="B27" s="12" t="str">
        <x:v>Jammu &amp; Kashmir</x:v>
      </x:c>
      <x:c r="C27" s="12" t="str">
        <x:v>Srinagar</x:v>
      </x:c>
      <x:c r="D27" s="12" t="str">
        <x:v>India</x:v>
      </x:c>
      <x:c r="E27" s="12" t="str">
        <x:v>Nigeen Lake Conservation Organisation (NLCO)</x:v>
      </x:c>
      <x:c r="F27" s="12" t="str">
        <x:v>Lake Conservation NGO</x:v>
      </x:c>
      <x:c r="G27" s="12" t="str">
        <x:v>Lakes / Wetlands</x:v>
      </x:c>
      <x:c r="H27" s="12" t="str">
        <x:v>Solid waste; public campaigns</x:v>
      </x:c>
      <x:c r="I27" s="12" t="str">
        <x:v>Known for Nigeen/Dal conservation and Mission Ehsaas style public campaigns.</x:v>
      </x:c>
      <x:c r="J27" s="12" t="str"/>
      <x:c r="K27" s="12" t="str"/>
      <x:c r="L27" s="12" t="str">
        <x:v>https://www.facebook.com/NigeenLakeConservationOrganisation/</x:v>
      </x:c>
      <x:c r="M27" s="12" t="str">
        <x:v>https://www.facebook.com/NigeenLakeConservationOrganisation/</x:v>
      </x:c>
      <x:c r="N27" s="12" t="str">
        <x:v>Tier 2 - Public social profile</x:v>
      </x:c>
      <x:c r="O27" s="12" t="str">
        <x:v>Lake conservation; public campaigns; cleanups</x:v>
      </x:c>
      <x:c r="P27" s="12" t="str">
        <x:v>High</x:v>
      </x:c>
      <x:c r="Q27" s="12" t="str">
        <x:v>Seed record - verify before outreach</x:v>
      </x:c>
      <x:c r="R27" s="14" t="str">
        <x:v>2026-07-08</x:v>
      </x:c>
    </x:row>
    <x:row r="28">
      <x:c r="A28" s="12" t="n">
        <x:v>27</x:v>
      </x:c>
      <x:c r="B28" s="12" t="str">
        <x:v>Jammu &amp; Kashmir</x:v>
      </x:c>
      <x:c r="C28" s="12" t="str">
        <x:v>Srinagar</x:v>
      </x:c>
      <x:c r="D28" s="12" t="str">
        <x:v>India</x:v>
      </x:c>
      <x:c r="E28" s="12" t="str">
        <x:v>Environmental Policy Group (EPG) Kashmir</x:v>
      </x:c>
      <x:c r="F28" s="12" t="str">
        <x:v>Environmental advocacy group</x:v>
      </x:c>
      <x:c r="G28" s="12" t="str">
        <x:v>Policy / Governance</x:v>
      </x:c>
      <x:c r="H28" s="12" t="str">
        <x:v>Public interest advocacy; ecological protection</x:v>
      </x:c>
      <x:c r="I28" s="12" t="str">
        <x:v>Public environmental advocacy platform in Kashmir; verify current leadership/contact before outreach.</x:v>
      </x:c>
      <x:c r="J28" s="12" t="str"/>
      <x:c r="K28" s="12" t="str"/>
      <x:c r="L28" s="12" t="str"/>
      <x:c r="M28" s="12" t="str">
        <x:v>https://www.google.com/search?q=Environmental+Policy+Group+Kashmir</x:v>
      </x:c>
      <x:c r="N28" s="12" t="str">
        <x:v>Tier 3 - Needs verification</x:v>
      </x:c>
      <x:c r="O28" s="12" t="str">
        <x:v>Policy influence; advocacy; public discourse</x:v>
      </x:c>
      <x:c r="P28" s="12" t="str">
        <x:v>High</x:v>
      </x:c>
      <x:c r="Q28" s="12" t="str">
        <x:v>Seed record - verify before outreach</x:v>
      </x:c>
      <x:c r="R28" s="14" t="str">
        <x:v>2026-07-08</x:v>
      </x:c>
    </x:row>
    <x:row r="29">
      <x:c r="A29" s="12" t="n">
        <x:v>28</x:v>
      </x:c>
      <x:c r="B29" s="12" t="str">
        <x:v>Jammu &amp; Kashmir</x:v>
      </x:c>
      <x:c r="C29" s="12" t="str">
        <x:v>Srinagar</x:v>
      </x:c>
      <x:c r="D29" s="12" t="str">
        <x:v>India</x:v>
      </x:c>
      <x:c r="E29" s="12" t="str">
        <x:v>Jammu &amp; Kashmir RTI Movement / environmental civic network</x:v>
      </x:c>
      <x:c r="F29" s="12" t="str">
        <x:v>Civic advocacy group</x:v>
      </x:c>
      <x:c r="G29" s="12" t="str">
        <x:v>Environmental governance</x:v>
      </x:c>
      <x:c r="H29" s="12" t="str">
        <x:v>RTI; public accountability; wetlands; waste</x:v>
      </x:c>
      <x:c r="I29" s="12" t="str">
        <x:v>Public-interest civic advocacy linked with environmental accountability and public rights.</x:v>
      </x:c>
      <x:c r="J29" s="12" t="str"/>
      <x:c r="K29" s="12" t="str"/>
      <x:c r="L29" s="12" t="str"/>
      <x:c r="M29" s="12" t="str">
        <x:v>https://www.google.com/search?q=Jammu+Kashmir+RTI+Movement+environment+Raja+Muzaffar+Bhat</x:v>
      </x:c>
      <x:c r="N29" s="12" t="str">
        <x:v>Tier 3 - Needs verification</x:v>
      </x:c>
      <x:c r="O29" s="12" t="str">
        <x:v>Governance; policy accountability; public campaigns</x:v>
      </x:c>
      <x:c r="P29" s="12" t="str">
        <x:v>High</x:v>
      </x:c>
      <x:c r="Q29" s="12" t="str">
        <x:v>Seed record - verify before outreach</x:v>
      </x:c>
      <x:c r="R29" s="14" t="str">
        <x:v>2026-07-08</x:v>
      </x:c>
    </x:row>
    <x:row r="30">
      <x:c r="A30" s="12" t="n">
        <x:v>29</x:v>
      </x:c>
      <x:c r="B30" s="12" t="str">
        <x:v>Jammu &amp; Kashmir</x:v>
      </x:c>
      <x:c r="C30" s="12" t="str">
        <x:v>Srinagar</x:v>
      </x:c>
      <x:c r="D30" s="12" t="str">
        <x:v>India</x:v>
      </x:c>
      <x:c r="E30" s="12" t="str">
        <x:v>Kashmir Birdwatch / birding community</x:v>
      </x:c>
      <x:c r="F30" s="12" t="str">
        <x:v>Citizen science group</x:v>
      </x:c>
      <x:c r="G30" s="12" t="str">
        <x:v>Birds / Biodiversity</x:v>
      </x:c>
      <x:c r="H30" s="12" t="str">
        <x:v>Wetlands; bird monitoring</x:v>
      </x:c>
      <x:c r="I30" s="12" t="str">
        <x:v>Potential citizen-science partner for bird records and wetland monitoring; verify active groups.</x:v>
      </x:c>
      <x:c r="J30" s="12" t="str"/>
      <x:c r="K30" s="12" t="str"/>
      <x:c r="L30" s="12" t="str"/>
      <x:c r="M30" s="12" t="str">
        <x:v>https://www.google.com/search?q=Kashmir+birdwatching+society+wetlands</x:v>
      </x:c>
      <x:c r="N30" s="12" t="str">
        <x:v>Tier 3 - Needs verification</x:v>
      </x:c>
      <x:c r="O30" s="12" t="str">
        <x:v>Citizen science; species monitoring</x:v>
      </x:c>
      <x:c r="P30" s="12" t="str">
        <x:v>Medium</x:v>
      </x:c>
      <x:c r="Q30" s="12" t="str">
        <x:v>Seed record - verify before outreach</x:v>
      </x:c>
      <x:c r="R30" s="14" t="str">
        <x:v>2026-07-08</x:v>
      </x:c>
    </x:row>
    <x:row r="31">
      <x:c r="A31" s="12" t="n">
        <x:v>30</x:v>
      </x:c>
      <x:c r="B31" s="12" t="str">
        <x:v>Jammu &amp; Kashmir</x:v>
      </x:c>
      <x:c r="C31" s="12" t="str">
        <x:v>Srinagar</x:v>
      </x:c>
      <x:c r="D31" s="12" t="str">
        <x:v>India</x:v>
      </x:c>
      <x:c r="E31" s="12" t="str">
        <x:v>Kashmir Valley Environmental Network</x:v>
      </x:c>
      <x:c r="F31" s="12" t="str">
        <x:v>Potential civic network</x:v>
      </x:c>
      <x:c r="G31" s="12" t="str">
        <x:v>Environment protection</x:v>
      </x:c>
      <x:c r="H31" s="12" t="str">
        <x:v>Public campaigns</x:v>
      </x:c>
      <x:c r="I31" s="12" t="str">
        <x:v>Placeholder target for verification from local directories and social sources.</x:v>
      </x:c>
      <x:c r="J31" s="12" t="str"/>
      <x:c r="K31" s="12" t="str"/>
      <x:c r="L31" s="12" t="str"/>
      <x:c r="M31" s="12" t="str">
        <x:v>https://www.google.com/search?q=Kashmir+environmental+NGO+Srinagar</x:v>
      </x:c>
      <x:c r="N31" s="12" t="str">
        <x:v>Tier 3 - Needs verification</x:v>
      </x:c>
      <x:c r="O31" s="12" t="str">
        <x:v>Outreach; civil society mapping</x:v>
      </x:c>
      <x:c r="P31" s="12" t="str">
        <x:v>Low</x:v>
      </x:c>
      <x:c r="Q31" s="12" t="str">
        <x:v>Seed record - verify before outreach</x:v>
      </x:c>
      <x:c r="R31" s="14" t="str">
        <x:v>2026-07-08</x:v>
      </x:c>
    </x:row>
    <x:row r="32">
      <x:c r="A32" s="12" t="n">
        <x:v>31</x:v>
      </x:c>
      <x:c r="B32" s="12" t="str">
        <x:v>Jammu &amp; Kashmir</x:v>
      </x:c>
      <x:c r="C32" s="12" t="str">
        <x:v>Jammu</x:v>
      </x:c>
      <x:c r="D32" s="12" t="str">
        <x:v>India</x:v>
      </x:c>
      <x:c r="E32" s="12" t="str">
        <x:v>National Green Organisation</x:v>
      </x:c>
      <x:c r="F32" s="12" t="str">
        <x:v>NGOFeed-listed organization</x:v>
      </x:c>
      <x:c r="G32" s="12" t="str">
        <x:v>Animal Welfare</x:v>
      </x:c>
      <x:c r="H32" s="12" t="str">
        <x:v>Rescue; rehabilitation</x:v>
      </x:c>
      <x:c r="I32" s="12" t="str">
        <x:v>Listed in NGOFeed Discover for Ramban/J&amp;K; verify details before outreach.</x:v>
      </x:c>
      <x:c r="J32" s="12" t="str"/>
      <x:c r="K32" s="12" t="str"/>
      <x:c r="L32" s="12" t="str"/>
      <x:c r="M32" s="12" t="str">
        <x:v>https://ngofeed.com/discover/national-green-organisation</x:v>
      </x:c>
      <x:c r="N32" s="12" t="str">
        <x:v>Tier 2 - Directory / public listing</x:v>
      </x:c>
      <x:c r="O32" s="12" t="str">
        <x:v>Animal welfare; rescue; district mapping</x:v>
      </x:c>
      <x:c r="P32" s="12" t="str">
        <x:v>Medium</x:v>
      </x:c>
      <x:c r="Q32" s="12" t="str">
        <x:v>Seed record - verify before outreach</x:v>
      </x:c>
      <x:c r="R32" s="14" t="str">
        <x:v>2026-07-08</x:v>
      </x:c>
    </x:row>
    <x:row r="33">
      <x:c r="A33" s="12" t="n">
        <x:v>32</x:v>
      </x:c>
      <x:c r="B33" s="12" t="str">
        <x:v>Jammu &amp; Kashmir</x:v>
      </x:c>
      <x:c r="C33" s="12" t="str">
        <x:v>Jammu</x:v>
      </x:c>
      <x:c r="D33" s="12" t="str">
        <x:v>India</x:v>
      </x:c>
      <x:c r="E33" s="12" t="str">
        <x:v>Jammu Animal Welfare Group / local rescue networks</x:v>
      </x:c>
      <x:c r="F33" s="12" t="str">
        <x:v>Animal welfare network</x:v>
      </x:c>
      <x:c r="G33" s="12" t="str">
        <x:v>Animal Welfare</x:v>
      </x:c>
      <x:c r="H33" s="12" t="str">
        <x:v>Urban ecology; stray animal management</x:v>
      </x:c>
      <x:c r="I33" s="12" t="str">
        <x:v>Use as category node for multiple informal rescue groups; verify individual pages.</x:v>
      </x:c>
      <x:c r="J33" s="12" t="str"/>
      <x:c r="K33" s="12" t="str"/>
      <x:c r="L33" s="12" t="str"/>
      <x:c r="M33" s="12" t="str">
        <x:v>https://www.google.com/search?q=Jammu+animal+welfare+NGO</x:v>
      </x:c>
      <x:c r="N33" s="12" t="str">
        <x:v>Tier 3 - Needs verification</x:v>
      </x:c>
      <x:c r="O33" s="12" t="str">
        <x:v>Animal welfare; urban conflict</x:v>
      </x:c>
      <x:c r="P33" s="12" t="str">
        <x:v>Low</x:v>
      </x:c>
      <x:c r="Q33" s="12" t="str">
        <x:v>Seed record - verify before outreach</x:v>
      </x:c>
      <x:c r="R33" s="14" t="str">
        <x:v>2026-07-08</x:v>
      </x:c>
    </x:row>
    <x:row r="34">
      <x:c r="A34" s="12" t="n">
        <x:v>33</x:v>
      </x:c>
      <x:c r="B34" s="12" t="str">
        <x:v>Ladakh</x:v>
      </x:c>
      <x:c r="C34" s="12" t="str">
        <x:v>Leh / India</x:v>
      </x:c>
      <x:c r="D34" s="12" t="str">
        <x:v>India</x:v>
      </x:c>
      <x:c r="E34" s="12" t="str">
        <x:v>Bombay Natural History Society (BNHS)</x:v>
      </x:c>
      <x:c r="F34" s="12" t="str">
        <x:v>Research NGO</x:v>
      </x:c>
      <x:c r="G34" s="12" t="str">
        <x:v>Biodiversity / Birds</x:v>
      </x:c>
      <x:c r="H34" s="12" t="str">
        <x:v>Research; bird conservation; biodiversity monitoring</x:v>
      </x:c>
      <x:c r="I34" s="12" t="str">
        <x:v>National NGO named in 2026 Ladakh govt conservation NGO meeting.</x:v>
      </x:c>
      <x:c r="J34" s="12" t="str"/>
      <x:c r="K34" s="12" t="str"/>
      <x:c r="L34" s="12" t="str"/>
      <x:c r="M34" s="12" t="str">
        <x:v>https://ladakh.gov.in/chief-secretary-chairs-meeting-with-ngos-on-forests-wildlife-and-environmental-conservation-in-ladakh/</x:v>
      </x:c>
      <x:c r="N34" s="12" t="str">
        <x:v>Tier 1 - Government-listed participant</x:v>
      </x:c>
      <x:c r="O34" s="12" t="str">
        <x:v>Biodiversity; wildlife; climate; community; governance</x:v>
      </x:c>
      <x:c r="P34" s="12" t="str">
        <x:v>Medium</x:v>
      </x:c>
      <x:c r="Q34" s="12" t="str">
        <x:v>Seed record - verify before outreach</x:v>
      </x:c>
      <x:c r="R34" s="14" t="str">
        <x:v>2026-07-08</x:v>
      </x:c>
    </x:row>
    <x:row r="35">
      <x:c r="A35" s="12" t="n">
        <x:v>34</x:v>
      </x:c>
      <x:c r="B35" s="12" t="str">
        <x:v>Ladakh</x:v>
      </x:c>
      <x:c r="C35" s="12" t="str">
        <x:v>Ladakh / India</x:v>
      </x:c>
      <x:c r="D35" s="12" t="str">
        <x:v>India</x:v>
      </x:c>
      <x:c r="E35" s="12" t="str">
        <x:v>World Wide Fund for Nature - India (WWF-India)</x:v>
      </x:c>
      <x:c r="F35" s="12" t="str">
        <x:v>International conservation NGO</x:v>
      </x:c>
      <x:c r="G35" s="12" t="str">
        <x:v>Biodiversity / Wildlife</x:v>
      </x:c>
      <x:c r="H35" s="12" t="str">
        <x:v>Landscape conservation; awareness; policy</x:v>
      </x:c>
      <x:c r="I35" s="12" t="str">
        <x:v>Named in 2026 Ladakh govt conservation NGO meeting.</x:v>
      </x:c>
      <x:c r="J35" s="12" t="str"/>
      <x:c r="K35" s="12" t="str"/>
      <x:c r="L35" s="12" t="str"/>
      <x:c r="M35" s="12" t="str">
        <x:v>https://ladakh.gov.in/chief-secretary-chairs-meeting-with-ngos-on-forests-wildlife-and-environmental-conservation-in-ladakh/</x:v>
      </x:c>
      <x:c r="N35" s="12" t="str">
        <x:v>Tier 1 - Government-listed participant</x:v>
      </x:c>
      <x:c r="O35" s="12" t="str">
        <x:v>Biodiversity; wildlife; climate; community; governance</x:v>
      </x:c>
      <x:c r="P35" s="12" t="str">
        <x:v>Medium</x:v>
      </x:c>
      <x:c r="Q35" s="12" t="str">
        <x:v>Seed record - verify before outreach</x:v>
      </x:c>
      <x:c r="R35" s="14" t="str">
        <x:v>2026-07-08</x:v>
      </x:c>
    </x:row>
    <x:row r="36">
      <x:c r="A36" s="12" t="n">
        <x:v>35</x:v>
      </x:c>
      <x:c r="B36" s="12" t="str">
        <x:v>Ladakh</x:v>
      </x:c>
      <x:c r="C36" s="12" t="str">
        <x:v>Leh</x:v>
      </x:c>
      <x:c r="D36" s="12" t="str">
        <x:v>India</x:v>
      </x:c>
      <x:c r="E36" s="12" t="str">
        <x:v>Wildlife Conservation and Birds Club of Ladakh</x:v>
      </x:c>
      <x:c r="F36" s="12" t="str">
        <x:v>Citizen conservation group</x:v>
      </x:c>
      <x:c r="G36" s="12" t="str">
        <x:v>Birds / Wildlife</x:v>
      </x:c>
      <x:c r="H36" s="12" t="str">
        <x:v>Bird conservation; field awareness</x:v>
      </x:c>
      <x:c r="I36" s="12" t="str">
        <x:v>Named in 2026 Ladakh govt conservation NGO meeting.</x:v>
      </x:c>
      <x:c r="J36" s="12" t="str"/>
      <x:c r="K36" s="12" t="str"/>
      <x:c r="L36" s="12" t="str"/>
      <x:c r="M36" s="12" t="str">
        <x:v>https://ladakh.gov.in/chief-secretary-chairs-meeting-with-ngos-on-forests-wildlife-and-environmental-conservation-in-ladakh/</x:v>
      </x:c>
      <x:c r="N36" s="12" t="str">
        <x:v>Tier 1 - Government-listed participant</x:v>
      </x:c>
      <x:c r="O36" s="12" t="str">
        <x:v>Biodiversity; wildlife; climate; community; governance</x:v>
      </x:c>
      <x:c r="P36" s="12" t="str">
        <x:v>Medium</x:v>
      </x:c>
      <x:c r="Q36" s="12" t="str">
        <x:v>Seed record - verify before outreach</x:v>
      </x:c>
      <x:c r="R36" s="14" t="str">
        <x:v>2026-07-08</x:v>
      </x:c>
    </x:row>
    <x:row r="37">
      <x:c r="A37" s="12" t="n">
        <x:v>36</x:v>
      </x:c>
      <x:c r="B37" s="12" t="str">
        <x:v>Ladakh</x:v>
      </x:c>
      <x:c r="C37" s="12" t="str">
        <x:v>Leh</x:v>
      </x:c>
      <x:c r="D37" s="12" t="str">
        <x:v>India</x:v>
      </x:c>
      <x:c r="E37" s="12" t="str">
        <x:v>Ladakh Ecological Development Group (LEDeG)</x:v>
      </x:c>
      <x:c r="F37" s="12" t="str">
        <x:v>Grassroots NGO</x:v>
      </x:c>
      <x:c r="G37" s="12" t="str">
        <x:v>Renewable energy / Urban environment</x:v>
      </x:c>
      <x:c r="H37" s="12" t="str">
        <x:v>Rural development; livelihoods; urban environmental issues</x:v>
      </x:c>
      <x:c r="I37" s="12" t="str">
        <x:v>Grassroots organization founded in 1983; contact verified by FAO Mountain Partnership.</x:v>
      </x:c>
      <x:c r="J37" s="12" t="str">
        <x:v>mail@ledeg.org</x:v>
      </x:c>
      <x:c r="K37" s="12" t="str">
        <x:v>01982253221</x:v>
      </x:c>
      <x:c r="L37" s="12" t="str">
        <x:v>http://www.ledeg.org</x:v>
      </x:c>
      <x:c r="M37" s="12" t="str">
        <x:v>https://www.fao.org/mountain-partnership/members/detail/ladakh-ecological-development-group/en</x:v>
      </x:c>
      <x:c r="N37" s="12" t="str">
        <x:v>Tier 1 - Official profile + contact</x:v>
      </x:c>
      <x:c r="O37" s="12" t="str">
        <x:v>Biodiversity; wildlife; climate; community; governance</x:v>
      </x:c>
      <x:c r="P37" s="12" t="str">
        <x:v>High</x:v>
      </x:c>
      <x:c r="Q37" s="12" t="str">
        <x:v>Seed record - verify before outreach</x:v>
      </x:c>
      <x:c r="R37" s="14" t="str">
        <x:v>2026-07-08</x:v>
      </x:c>
    </x:row>
    <x:row r="38">
      <x:c r="A38" s="12" t="n">
        <x:v>37</x:v>
      </x:c>
      <x:c r="B38" s="12" t="str">
        <x:v>Ladakh</x:v>
      </x:c>
      <x:c r="C38" s="12" t="str">
        <x:v>Leh</x:v>
      </x:c>
      <x:c r="D38" s="12" t="str">
        <x:v>India</x:v>
      </x:c>
      <x:c r="E38" s="12" t="str">
        <x:v>Ladakh Environment and Health Organisation (LEHO)</x:v>
      </x:c>
      <x:c r="F38" s="12" t="str">
        <x:v>NGO</x:v>
      </x:c>
      <x:c r="G38" s="12" t="str">
        <x:v>Sustainable development / Health</x:v>
      </x:c>
      <x:c r="H38" s="12" t="str">
        <x:v>Environment-health linkage; community development</x:v>
      </x:c>
      <x:c r="I38" s="12" t="str">
        <x:v>Named in 2026 Ladakh govt conservation NGO meeting.</x:v>
      </x:c>
      <x:c r="J38" s="12" t="str"/>
      <x:c r="K38" s="12" t="str"/>
      <x:c r="L38" s="12" t="str"/>
      <x:c r="M38" s="12" t="str">
        <x:v>https://ladakh.gov.in/chief-secretary-chairs-meeting-with-ngos-on-forests-wildlife-and-environmental-conservation-in-ladakh/</x:v>
      </x:c>
      <x:c r="N38" s="12" t="str">
        <x:v>Tier 1 - Government-listed participant</x:v>
      </x:c>
      <x:c r="O38" s="12" t="str">
        <x:v>Biodiversity; wildlife; climate; community; governance</x:v>
      </x:c>
      <x:c r="P38" s="12" t="str">
        <x:v>Medium</x:v>
      </x:c>
      <x:c r="Q38" s="12" t="str">
        <x:v>Seed record - verify before outreach</x:v>
      </x:c>
      <x:c r="R38" s="14" t="str">
        <x:v>2026-07-08</x:v>
      </x:c>
    </x:row>
    <x:row r="39">
      <x:c r="A39" s="12" t="n">
        <x:v>38</x:v>
      </x:c>
      <x:c r="B39" s="12" t="str">
        <x:v>Ladakh</x:v>
      </x:c>
      <x:c r="C39" s="12" t="str">
        <x:v>Ladakh</x:v>
      </x:c>
      <x:c r="D39" s="12" t="str">
        <x:v>India</x:v>
      </x:c>
      <x:c r="E39" s="12" t="str">
        <x:v>Snow Leopard Conservancy India Trust</x:v>
      </x:c>
      <x:c r="F39" s="12" t="str">
        <x:v>Wildlife conservation NGO</x:v>
      </x:c>
      <x:c r="G39" s="12" t="str">
        <x:v>Snow leopard / Wildlife</x:v>
      </x:c>
      <x:c r="H39" s="12" t="str">
        <x:v>Human-wildlife conflict; community conservation</x:v>
      </x:c>
      <x:c r="I39" s="12" t="str">
        <x:v>Named in 2026 Ladakh govt conservation NGO meeting.</x:v>
      </x:c>
      <x:c r="J39" s="12" t="str"/>
      <x:c r="K39" s="12" t="str"/>
      <x:c r="L39" s="12" t="str"/>
      <x:c r="M39" s="12" t="str">
        <x:v>https://ladakh.gov.in/chief-secretary-chairs-meeting-with-ngos-on-forests-wildlife-and-environmental-conservation-in-ladakh/</x:v>
      </x:c>
      <x:c r="N39" s="12" t="str">
        <x:v>Tier 1 - Government-listed participant</x:v>
      </x:c>
      <x:c r="O39" s="12" t="str">
        <x:v>Biodiversity; wildlife; climate; community; governance</x:v>
      </x:c>
      <x:c r="P39" s="12" t="str">
        <x:v>High</x:v>
      </x:c>
      <x:c r="Q39" s="12" t="str">
        <x:v>Seed record - verify before outreach</x:v>
      </x:c>
      <x:c r="R39" s="14" t="str">
        <x:v>2026-07-08</x:v>
      </x:c>
    </x:row>
    <x:row r="40">
      <x:c r="A40" s="12" t="n">
        <x:v>39</x:v>
      </x:c>
      <x:c r="B40" s="12" t="str">
        <x:v>Ladakh</x:v>
      </x:c>
      <x:c r="C40" s="12" t="str">
        <x:v>Leh</x:v>
      </x:c>
      <x:c r="D40" s="12" t="str">
        <x:v>India</x:v>
      </x:c>
      <x:c r="E40" s="12" t="str">
        <x:v>Ladakh Animal Care Society</x:v>
      </x:c>
      <x:c r="F40" s="12" t="str">
        <x:v>Animal welfare NGO</x:v>
      </x:c>
      <x:c r="G40" s="12" t="str">
        <x:v>Animal Welfare</x:v>
      </x:c>
      <x:c r="H40" s="12" t="str">
        <x:v>Animal rescue/care; urban animal welfare</x:v>
      </x:c>
      <x:c r="I40" s="12" t="str">
        <x:v>Named in 2026 Ladakh govt conservation NGO meeting.</x:v>
      </x:c>
      <x:c r="J40" s="12" t="str"/>
      <x:c r="K40" s="12" t="str"/>
      <x:c r="L40" s="12" t="str"/>
      <x:c r="M40" s="12" t="str">
        <x:v>https://ladakh.gov.in/chief-secretary-chairs-meeting-with-ngos-on-forests-wildlife-and-environmental-conservation-in-ladakh/</x:v>
      </x:c>
      <x:c r="N40" s="12" t="str">
        <x:v>Tier 1 - Government-listed participant</x:v>
      </x:c>
      <x:c r="O40" s="12" t="str">
        <x:v>Biodiversity; wildlife; climate; community; governance</x:v>
      </x:c>
      <x:c r="P40" s="12" t="str">
        <x:v>Medium</x:v>
      </x:c>
      <x:c r="Q40" s="12" t="str">
        <x:v>Seed record - verify before outreach</x:v>
      </x:c>
      <x:c r="R40" s="14" t="str">
        <x:v>2026-07-08</x:v>
      </x:c>
    </x:row>
    <x:row r="41">
      <x:c r="A41" s="12" t="n">
        <x:v>40</x:v>
      </x:c>
      <x:c r="B41" s="12" t="str">
        <x:v>Ladakh</x:v>
      </x:c>
      <x:c r="C41" s="12" t="str">
        <x:v>Ladakh</x:v>
      </x:c>
      <x:c r="D41" s="12" t="str">
        <x:v>India</x:v>
      </x:c>
      <x:c r="E41" s="12" t="str">
        <x:v>Ladakh Centre for Peace and Sustainable Development</x:v>
      </x:c>
      <x:c r="F41" s="12" t="str">
        <x:v>Sustainable development organization</x:v>
      </x:c>
      <x:c r="G41" s="12" t="str">
        <x:v>Sustainable development</x:v>
      </x:c>
      <x:c r="H41" s="12" t="str">
        <x:v>Peace; sustainability; community action</x:v>
      </x:c>
      <x:c r="I41" s="12" t="str">
        <x:v>Named in 2026 Ladakh govt conservation NGO meeting.</x:v>
      </x:c>
      <x:c r="J41" s="12" t="str"/>
      <x:c r="K41" s="12" t="str"/>
      <x:c r="L41" s="12" t="str"/>
      <x:c r="M41" s="12" t="str">
        <x:v>https://ladakh.gov.in/chief-secretary-chairs-meeting-with-ngos-on-forests-wildlife-and-environmental-conservation-in-ladakh/</x:v>
      </x:c>
      <x:c r="N41" s="12" t="str">
        <x:v>Tier 1 - Government-listed participant</x:v>
      </x:c>
      <x:c r="O41" s="12" t="str">
        <x:v>Biodiversity; wildlife; climate; community; governance</x:v>
      </x:c>
      <x:c r="P41" s="12" t="str">
        <x:v>Medium</x:v>
      </x:c>
      <x:c r="Q41" s="12" t="str">
        <x:v>Seed record - verify before outreach</x:v>
      </x:c>
      <x:c r="R41" s="14" t="str">
        <x:v>2026-07-08</x:v>
      </x:c>
    </x:row>
    <x:row r="42">
      <x:c r="A42" s="12" t="n">
        <x:v>41</x:v>
      </x:c>
      <x:c r="B42" s="12" t="str">
        <x:v>Ladakh</x:v>
      </x:c>
      <x:c r="C42" s="12" t="str">
        <x:v>Ladakh</x:v>
      </x:c>
      <x:c r="D42" s="12" t="str">
        <x:v>India</x:v>
      </x:c>
      <x:c r="E42" s="12" t="str">
        <x:v>Brown Bear Trust</x:v>
      </x:c>
      <x:c r="F42" s="12" t="str">
        <x:v>Wildlife conservation trust</x:v>
      </x:c>
      <x:c r="G42" s="12" t="str">
        <x:v>Brown bear / Wildlife</x:v>
      </x:c>
      <x:c r="H42" s="12" t="str">
        <x:v>Human-wildlife conflict; habitat conservation</x:v>
      </x:c>
      <x:c r="I42" s="12" t="str">
        <x:v>Named in 2026 Ladakh govt conservation NGO meeting.</x:v>
      </x:c>
      <x:c r="J42" s="12" t="str"/>
      <x:c r="K42" s="12" t="str"/>
      <x:c r="L42" s="12" t="str"/>
      <x:c r="M42" s="12" t="str">
        <x:v>https://ladakh.gov.in/chief-secretary-chairs-meeting-with-ngos-on-forests-wildlife-and-environmental-conservation-in-ladakh/</x:v>
      </x:c>
      <x:c r="N42" s="12" t="str">
        <x:v>Tier 1 - Government-listed participant</x:v>
      </x:c>
      <x:c r="O42" s="12" t="str">
        <x:v>Biodiversity; wildlife; climate; community; governance</x:v>
      </x:c>
      <x:c r="P42" s="12" t="str">
        <x:v>Medium</x:v>
      </x:c>
      <x:c r="Q42" s="12" t="str">
        <x:v>Seed record - verify before outreach</x:v>
      </x:c>
      <x:c r="R42" s="14" t="str">
        <x:v>2026-07-08</x:v>
      </x:c>
    </x:row>
    <x:row r="43">
      <x:c r="A43" s="12" t="n">
        <x:v>42</x:v>
      </x:c>
      <x:c r="B43" s="12" t="str">
        <x:v>Ladakh</x:v>
      </x:c>
      <x:c r="C43" s="12" t="str">
        <x:v>Ladakh</x:v>
      </x:c>
      <x:c r="D43" s="12" t="str">
        <x:v>India</x:v>
      </x:c>
      <x:c r="E43" s="12" t="str">
        <x:v>Ladakh Women Alliance</x:v>
      </x:c>
      <x:c r="F43" s="12" t="str">
        <x:v>Community organization</x:v>
      </x:c>
      <x:c r="G43" s="12" t="str">
        <x:v>Community / Sustainability</x:v>
      </x:c>
      <x:c r="H43" s="12" t="str">
        <x:v>Women-led community development and sustainability</x:v>
      </x:c>
      <x:c r="I43" s="12" t="str">
        <x:v>Named in 2026 Ladakh govt conservation NGO meeting.</x:v>
      </x:c>
      <x:c r="J43" s="12" t="str"/>
      <x:c r="K43" s="12" t="str"/>
      <x:c r="L43" s="12" t="str"/>
      <x:c r="M43" s="12" t="str">
        <x:v>https://ladakh.gov.in/chief-secretary-chairs-meeting-with-ngos-on-forests-wildlife-and-environmental-conservation-in-ladakh/</x:v>
      </x:c>
      <x:c r="N43" s="12" t="str">
        <x:v>Tier 1 - Government-listed participant</x:v>
      </x:c>
      <x:c r="O43" s="12" t="str">
        <x:v>Biodiversity; wildlife; climate; community; governance</x:v>
      </x:c>
      <x:c r="P43" s="12" t="str">
        <x:v>Medium</x:v>
      </x:c>
      <x:c r="Q43" s="12" t="str">
        <x:v>Seed record - verify before outreach</x:v>
      </x:c>
      <x:c r="R43" s="14" t="str">
        <x:v>2026-07-08</x:v>
      </x:c>
    </x:row>
    <x:row r="44">
      <x:c r="A44" s="12" t="n">
        <x:v>43</x:v>
      </x:c>
      <x:c r="B44" s="12" t="str">
        <x:v>Ladakh</x:v>
      </x:c>
      <x:c r="C44" s="12" t="str">
        <x:v>Kargil</x:v>
      </x:c>
      <x:c r="D44" s="12" t="str">
        <x:v>India</x:v>
      </x:c>
      <x:c r="E44" s="12" t="str">
        <x:v>Himalayan Ground Trust</x:v>
      </x:c>
      <x:c r="F44" s="12" t="str">
        <x:v>Kargil-based organization</x:v>
      </x:c>
      <x:c r="G44" s="12" t="str">
        <x:v>Forest / Wildlife / Environment</x:v>
      </x:c>
      <x:c r="H44" s="12" t="str">
        <x:v>Participated virtually in 2026 meeting; verify legal status/contact.</x:v>
      </x:c>
      <x:c r="I44" s="12" t="str">
        <x:v>Named as Kargil-based organization in 2026 Ladakh govt meeting.</x:v>
      </x:c>
      <x:c r="J44" s="12" t="str"/>
      <x:c r="K44" s="12" t="str"/>
      <x:c r="L44" s="12" t="str"/>
      <x:c r="M44" s="12" t="str">
        <x:v>https://ladakh.gov.in/chief-secretary-chairs-meeting-with-ngos-on-forests-wildlife-and-environmental-conservation-in-ladakh/</x:v>
      </x:c>
      <x:c r="N44" s="12" t="str">
        <x:v>Tier 1 - Government-listed participant</x:v>
      </x:c>
      <x:c r="O44" s="12" t="str">
        <x:v>Biodiversity; wildlife; climate; community; governance</x:v>
      </x:c>
      <x:c r="P44" s="12" t="str">
        <x:v>Medium</x:v>
      </x:c>
      <x:c r="Q44" s="12" t="str">
        <x:v>Seed record - verify before outreach</x:v>
      </x:c>
      <x:c r="R44" s="14" t="str">
        <x:v>2026-07-08</x:v>
      </x:c>
    </x:row>
    <x:row r="45">
      <x:c r="A45" s="12" t="n">
        <x:v>44</x:v>
      </x:c>
      <x:c r="B45" s="12" t="str">
        <x:v>Ladakh</x:v>
      </x:c>
      <x:c r="C45" s="12" t="str">
        <x:v>Leh</x:v>
      </x:c>
      <x:c r="D45" s="12" t="str">
        <x:v>India</x:v>
      </x:c>
      <x:c r="E45" s="12" t="str">
        <x:v>Himalayan Institute of Alternatives, Ladakh (HIAL)</x:v>
      </x:c>
      <x:c r="F45" s="12" t="str">
        <x:v>Education / innovation institution</x:v>
      </x:c>
      <x:c r="G45" s="12" t="str">
        <x:v>Climate adaptation / sustainable infrastructure</x:v>
      </x:c>
      <x:c r="H45" s="12" t="str">
        <x:v>Ice stupas; mountain innovation; education</x:v>
      </x:c>
      <x:c r="I45" s="12" t="str">
        <x:v>High-value partner; verify local contact before outreach.</x:v>
      </x:c>
      <x:c r="J45" s="12" t="str"/>
      <x:c r="K45" s="12" t="str"/>
      <x:c r="L45" s="12" t="str">
        <x:v>https://www.hial.edu.in/</x:v>
      </x:c>
      <x:c r="M45" s="12" t="str">
        <x:v>https://www.hial.edu.in/</x:v>
      </x:c>
      <x:c r="N45" s="12" t="str">
        <x:v>Tier 2 - Public profile / web source</x:v>
      </x:c>
      <x:c r="O45" s="12" t="str">
        <x:v>Climate adaptation; research; youth; conservation</x:v>
      </x:c>
      <x:c r="P45" s="12" t="str">
        <x:v>High</x:v>
      </x:c>
      <x:c r="Q45" s="12" t="str">
        <x:v>Seed record - verify before outreach</x:v>
      </x:c>
      <x:c r="R45" s="14" t="str">
        <x:v>2026-07-08</x:v>
      </x:c>
    </x:row>
    <x:row r="46">
      <x:c r="A46" s="12" t="n">
        <x:v>45</x:v>
      </x:c>
      <x:c r="B46" s="12" t="str">
        <x:v>Ladakh</x:v>
      </x:c>
      <x:c r="C46" s="12" t="str">
        <x:v>Leh</x:v>
      </x:c>
      <x:c r="D46" s="12" t="str">
        <x:v>India</x:v>
      </x:c>
      <x:c r="E46" s="12" t="str">
        <x:v>SECMOL - Students' Educational and Cultural Movement of Ladakh</x:v>
      </x:c>
      <x:c r="F46" s="12" t="str">
        <x:v>Education NGO</x:v>
      </x:c>
      <x:c r="G46" s="12" t="str">
        <x:v>Sustainable education / climate adaptation</x:v>
      </x:c>
      <x:c r="H46" s="12" t="str">
        <x:v>Alternative education; solar buildings; youth development</x:v>
      </x:c>
      <x:c r="I46" s="12" t="str">
        <x:v>High-value partner; verify local contact before outreach.</x:v>
      </x:c>
      <x:c r="J46" s="12" t="str"/>
      <x:c r="K46" s="12" t="str"/>
      <x:c r="L46" s="12" t="str">
        <x:v>https://secmol.org/</x:v>
      </x:c>
      <x:c r="M46" s="12" t="str">
        <x:v>https://secmol.org/</x:v>
      </x:c>
      <x:c r="N46" s="12" t="str">
        <x:v>Tier 2 - Public profile / web source</x:v>
      </x:c>
      <x:c r="O46" s="12" t="str">
        <x:v>Climate adaptation; research; youth; conservation</x:v>
      </x:c>
      <x:c r="P46" s="12" t="str">
        <x:v>Medium</x:v>
      </x:c>
      <x:c r="Q46" s="12" t="str">
        <x:v>Seed record - verify before outreach</x:v>
      </x:c>
      <x:c r="R46" s="14" t="str">
        <x:v>2026-07-08</x:v>
      </x:c>
    </x:row>
    <x:row r="47">
      <x:c r="A47" s="12" t="n">
        <x:v>46</x:v>
      </x:c>
      <x:c r="B47" s="12" t="str">
        <x:v>Ladakh</x:v>
      </x:c>
      <x:c r="C47" s="12" t="str">
        <x:v>Ladakh / Global</x:v>
      </x:c>
      <x:c r="D47" s="12" t="str">
        <x:v>India</x:v>
      </x:c>
      <x:c r="E47" s="12" t="str">
        <x:v>Local Futures / International Society for Ecology and Culture - Ladakh linked work</x:v>
      </x:c>
      <x:c r="F47" s="12" t="str">
        <x:v>NGO / movement</x:v>
      </x:c>
      <x:c r="G47" s="12" t="str">
        <x:v>Localization / sustainable economies</x:v>
      </x:c>
      <x:c r="H47" s="12" t="str">
        <x:v>Long-term Ladakh-focused work on localization and sustainable culture</x:v>
      </x:c>
      <x:c r="I47" s="12" t="str">
        <x:v>High-value partner; verify local contact before outreach.</x:v>
      </x:c>
      <x:c r="J47" s="12" t="str"/>
      <x:c r="K47" s="12" t="str"/>
      <x:c r="L47" s="12" t="str">
        <x:v>https://www.localfutures.org/</x:v>
      </x:c>
      <x:c r="M47" s="12" t="str">
        <x:v>https://www.localfutures.org/</x:v>
      </x:c>
      <x:c r="N47" s="12" t="str">
        <x:v>Tier 2 - Public profile / web source</x:v>
      </x:c>
      <x:c r="O47" s="12" t="str">
        <x:v>Climate adaptation; research; youth; conservation</x:v>
      </x:c>
      <x:c r="P47" s="12" t="str">
        <x:v>Medium</x:v>
      </x:c>
      <x:c r="Q47" s="12" t="str">
        <x:v>Seed record - verify before outreach</x:v>
      </x:c>
      <x:c r="R47" s="14" t="str">
        <x:v>2026-07-08</x:v>
      </x:c>
    </x:row>
    <x:row r="48">
      <x:c r="A48" s="12" t="n">
        <x:v>47</x:v>
      </x:c>
      <x:c r="B48" s="12" t="str">
        <x:v>Ladakh</x:v>
      </x:c>
      <x:c r="C48" s="12" t="str">
        <x:v>Leh</x:v>
      </x:c>
      <x:c r="D48" s="12" t="str">
        <x:v>India</x:v>
      </x:c>
      <x:c r="E48" s="12" t="str">
        <x:v>Live to Love Ladakh</x:v>
      </x:c>
      <x:c r="F48" s="12" t="str">
        <x:v>NGO / charity</x:v>
      </x:c>
      <x:c r="G48" s="12" t="str">
        <x:v>Waste / climate / community</x:v>
      </x:c>
      <x:c r="H48" s="12" t="str">
        <x:v>Cleanups, disaster relief and community action; verify current environmental projects</x:v>
      </x:c>
      <x:c r="I48" s="12" t="str">
        <x:v>High-value partner; verify local contact before outreach.</x:v>
      </x:c>
      <x:c r="J48" s="12" t="str"/>
      <x:c r="K48" s="12" t="str"/>
      <x:c r="L48" s="12" t="str">
        <x:v>https://www.livetolove.org/</x:v>
      </x:c>
      <x:c r="M48" s="12" t="str">
        <x:v>https://www.livetolove.org/</x:v>
      </x:c>
      <x:c r="N48" s="12" t="str">
        <x:v>Tier 2 - Public profile / web source</x:v>
      </x:c>
      <x:c r="O48" s="12" t="str">
        <x:v>Climate adaptation; research; youth; conservation</x:v>
      </x:c>
      <x:c r="P48" s="12" t="str">
        <x:v>Medium</x:v>
      </x:c>
      <x:c r="Q48" s="12" t="str">
        <x:v>Seed record - verify before outreach</x:v>
      </x:c>
      <x:c r="R48" s="14" t="str">
        <x:v>2026-07-08</x:v>
      </x:c>
    </x:row>
    <x:row r="49">
      <x:c r="A49" s="12" t="n">
        <x:v>48</x:v>
      </x:c>
      <x:c r="B49" s="12" t="str">
        <x:v>Ladakh</x:v>
      </x:c>
      <x:c r="C49" s="12" t="str">
        <x:v>Ladakh / Trans-Himalaya</x:v>
      </x:c>
      <x:c r="D49" s="12" t="str">
        <x:v>India</x:v>
      </x:c>
      <x:c r="E49" s="12" t="str">
        <x:v>Nature Conservation Foundation - High Altitudes Programme</x:v>
      </x:c>
      <x:c r="F49" s="12" t="str">
        <x:v>Research NGO</x:v>
      </x:c>
      <x:c r="G49" s="12" t="str">
        <x:v>High-altitude wildlife</x:v>
      </x:c>
      <x:c r="H49" s="12" t="str">
        <x:v>Research and conservation in the Trans-Himalaya</x:v>
      </x:c>
      <x:c r="I49" s="12" t="str">
        <x:v>High-value partner; verify local contact before outreach.</x:v>
      </x:c>
      <x:c r="J49" s="12" t="str"/>
      <x:c r="K49" s="12" t="str"/>
      <x:c r="L49" s="12" t="str">
        <x:v>https://www.ncf-india.org/</x:v>
      </x:c>
      <x:c r="M49" s="12" t="str">
        <x:v>https://www.ncf-india.org/</x:v>
      </x:c>
      <x:c r="N49" s="12" t="str">
        <x:v>Tier 2 - Public profile / web source</x:v>
      </x:c>
      <x:c r="O49" s="12" t="str">
        <x:v>Climate adaptation; research; youth; conservation</x:v>
      </x:c>
      <x:c r="P49" s="12" t="str">
        <x:v>Medium</x:v>
      </x:c>
      <x:c r="Q49" s="12" t="str">
        <x:v>Seed record - verify before outreach</x:v>
      </x:c>
      <x:c r="R49" s="14" t="str">
        <x:v>2026-07-08</x:v>
      </x:c>
    </x:row>
    <x:row r="50">
      <x:c r="A50" s="12" t="n">
        <x:v>49</x:v>
      </x:c>
      <x:c r="B50" s="12" t="str">
        <x:v>Ladakh</x:v>
      </x:c>
      <x:c r="C50" s="12" t="str">
        <x:v>J&amp;K / Ladakh / India</x:v>
      </x:c>
      <x:c r="D50" s="12" t="str">
        <x:v>India</x:v>
      </x:c>
      <x:c r="E50" s="12" t="str">
        <x:v>Wildlife Trust of India - Himalayan projects</x:v>
      </x:c>
      <x:c r="F50" s="12" t="str">
        <x:v>Conservation NGO</x:v>
      </x:c>
      <x:c r="G50" s="12" t="str">
        <x:v>Wildlife protection</x:v>
      </x:c>
      <x:c r="H50" s="12" t="str">
        <x:v>National conservation NGO with Himalayan relevance</x:v>
      </x:c>
      <x:c r="I50" s="12" t="str">
        <x:v>High-value partner; verify local contact before outreach.</x:v>
      </x:c>
      <x:c r="J50" s="12" t="str"/>
      <x:c r="K50" s="12" t="str"/>
      <x:c r="L50" s="12" t="str">
        <x:v>https://www.wti.org.in/</x:v>
      </x:c>
      <x:c r="M50" s="12" t="str">
        <x:v>https://www.wti.org.in/</x:v>
      </x:c>
      <x:c r="N50" s="12" t="str">
        <x:v>Tier 2 - Public profile / web source</x:v>
      </x:c>
      <x:c r="O50" s="12" t="str">
        <x:v>Climate adaptation; research; youth; conservation</x:v>
      </x:c>
      <x:c r="P50" s="12" t="str">
        <x:v>Medium</x:v>
      </x:c>
      <x:c r="Q50" s="12" t="str">
        <x:v>Seed record - verify before outreach</x:v>
      </x:c>
      <x:c r="R50" s="14" t="str">
        <x:v>2026-07-08</x:v>
      </x:c>
    </x:row>
    <x:row r="51">
      <x:c r="A51" s="12" t="n">
        <x:v>50</x:v>
      </x:c>
      <x:c r="B51" s="12" t="str">
        <x:v>Ladakh</x:v>
      </x:c>
      <x:c r="C51" s="12" t="str">
        <x:v>India / Himalayan region</x:v>
      </x:c>
      <x:c r="D51" s="12" t="str">
        <x:v>India</x:v>
      </x:c>
      <x:c r="E51" s="12" t="str">
        <x:v>Sanctuary Nature Foundation</x:v>
      </x:c>
      <x:c r="F51" s="12" t="str">
        <x:v>Conservation media/foundation</x:v>
      </x:c>
      <x:c r="G51" s="12" t="str">
        <x:v>Wildlife / public awareness</x:v>
      </x:c>
      <x:c r="H51" s="12" t="str">
        <x:v>Conservation communication and networks; useful media/science partner</x:v>
      </x:c>
      <x:c r="I51" s="12" t="str">
        <x:v>High-value partner; verify local contact before outreach.</x:v>
      </x:c>
      <x:c r="J51" s="12" t="str"/>
      <x:c r="K51" s="12" t="str"/>
      <x:c r="L51" s="12" t="str">
        <x:v>https://www.sanctuarynaturefoundation.org/</x:v>
      </x:c>
      <x:c r="M51" s="12" t="str">
        <x:v>https://www.sanctuarynaturefoundation.org/</x:v>
      </x:c>
      <x:c r="N51" s="12" t="str">
        <x:v>Tier 2 - Public profile / web source</x:v>
      </x:c>
      <x:c r="O51" s="12" t="str">
        <x:v>Climate adaptation; research; youth; conservation</x:v>
      </x:c>
      <x:c r="P51" s="12" t="str">
        <x:v>Medium</x:v>
      </x:c>
      <x:c r="Q51" s="12" t="str">
        <x:v>Seed record - verify before outreach</x:v>
      </x:c>
      <x:c r="R51" s="14" t="str">
        <x:v>2026-07-08</x:v>
      </x:c>
    </x:row>
    <x:row r="52">
      <x:c r="A52" s="12" t="n">
        <x:v>51</x:v>
      </x:c>
      <x:c r="B52" s="12" t="str">
        <x:v>Ladakh</x:v>
      </x:c>
      <x:c r="C52" s="12" t="str">
        <x:v>Ladakh</x:v>
      </x:c>
      <x:c r="D52" s="12" t="str">
        <x:v>India</x:v>
      </x:c>
      <x:c r="E52" s="12" t="str">
        <x:v>SHAN Conservation Society</x:v>
      </x:c>
      <x:c r="F52" s="12" t="str">
        <x:v>Multi-stakeholder conservation platform</x:v>
      </x:c>
      <x:c r="G52" s="12" t="str">
        <x:v>Snow leopard / cold desert ecosystems</x:v>
      </x:c>
      <x:c r="H52" s="12" t="str">
        <x:v>Reported as a platform to conserve alpine fauna, wetlands, flora and cold desert ecosystems.</x:v>
      </x:c>
      <x:c r="I52" s="12" t="str">
        <x:v>High-value partner; verify local contact before outreach.</x:v>
      </x:c>
      <x:c r="J52" s="12" t="str"/>
      <x:c r="K52" s="12" t="str"/>
      <x:c r="L52" s="12" t="str">
        <x:v>https://x.com/lg_ladakh/status/2067190538206695811</x:v>
      </x:c>
      <x:c r="M52" s="12" t="str">
        <x:v>https://x.com/lg_ladakh/status/2067190538206695811</x:v>
      </x:c>
      <x:c r="N52" s="12" t="str">
        <x:v>Tier 2 - Public profile / web source</x:v>
      </x:c>
      <x:c r="O52" s="12" t="str">
        <x:v>Climate adaptation; research; youth; conservation</x:v>
      </x:c>
      <x:c r="P52" s="12" t="str">
        <x:v>Medium</x:v>
      </x:c>
      <x:c r="Q52" s="12" t="str">
        <x:v>Seed record - verify before outreach</x:v>
      </x:c>
      <x:c r="R52" s="14" t="str">
        <x:v>2026-07-08</x:v>
      </x:c>
    </x:row>
    <x:row r="53">
      <x:c r="A53" s="12" t="n">
        <x:v>52</x:v>
      </x:c>
      <x:c r="B53" s="12" t="str">
        <x:v>Azad Kashmir</x:v>
      </x:c>
      <x:c r="C53" s="12" t="str">
        <x:v>AJK / UK-linked</x:v>
      </x:c>
      <x:c r="D53" s="12" t="str">
        <x:v>Pakistan-administered</x:v>
      </x:c>
      <x:c r="E53" s="12" t="str">
        <x:v>Kashmir Welfare Foundation (KWF)</x:v>
      </x:c>
      <x:c r="F53" s="12" t="str">
        <x:v>Foundation / charity</x:v>
      </x:c>
      <x:c r="G53" s="12" t="str">
        <x:v>Environment / community projects</x:v>
      </x:c>
      <x:c r="H53" s="12" t="str">
        <x:v>Climate; DRR; community outreach</x:v>
      </x:c>
      <x:c r="I53" s="12" t="str">
        <x:v>Humanitarian, environmental and community-driven projects across AJK.</x:v>
      </x:c>
      <x:c r="J53" s="12" t="str"/>
      <x:c r="K53" s="12" t="str"/>
      <x:c r="L53" s="12" t="str"/>
      <x:c r="M53" s="12" t="str">
        <x:v>https://kashmirwelfare.org.uk/resources/our-projects/</x:v>
      </x:c>
      <x:c r="N53" s="12" t="str">
        <x:v>Tier 2 - Public project page</x:v>
      </x:c>
      <x:c r="O53" s="12" t="str">
        <x:v>Climate adaptation; DRR; community outreach; education</x:v>
      </x:c>
      <x:c r="P53" s="12" t="str">
        <x:v>Medium</x:v>
      </x:c>
      <x:c r="Q53" s="12" t="str">
        <x:v>Seed record - verify before outreach</x:v>
      </x:c>
      <x:c r="R53" s="14" t="str">
        <x:v>2026-07-08</x:v>
      </x:c>
    </x:row>
    <x:row r="54">
      <x:c r="A54" s="12" t="n">
        <x:v>53</x:v>
      </x:c>
      <x:c r="B54" s="12" t="str">
        <x:v>Azad Kashmir</x:v>
      </x:c>
      <x:c r="C54" s="12" t="str">
        <x:v>AJK / Pakistan</x:v>
      </x:c>
      <x:c r="D54" s="12" t="str">
        <x:v>Pakistan-administered</x:v>
      </x:c>
      <x:c r="E54" s="12" t="str">
        <x:v>Islamic Relief Pakistan - AJK climate/environment projects</x:v>
      </x:c>
      <x:c r="F54" s="12" t="str">
        <x:v>INGO / humanitarian NGO</x:v>
      </x:c>
      <x:c r="G54" s="12" t="str">
        <x:v>Climate adaptation / DRR</x:v>
      </x:c>
      <x:c r="H54" s="12" t="str">
        <x:v>Climate; DRR; community outreach</x:v>
      </x:c>
      <x:c r="I54" s="12" t="str">
        <x:v>Climate and environmental quality work in AJK; report discusses climate impacts and resource degradation.</x:v>
      </x:c>
      <x:c r="J54" s="12" t="str"/>
      <x:c r="K54" s="12" t="str"/>
      <x:c r="L54" s="12" t="str"/>
      <x:c r="M54" s="12" t="str">
        <x:v>https://islamic-relief.org.pk/wp-content/uploads/2023/12/Final-Report-Rev-11-30-23-reduced-size.pdf</x:v>
      </x:c>
      <x:c r="N54" s="12" t="str">
        <x:v>Tier 2 - Report / public source</x:v>
      </x:c>
      <x:c r="O54" s="12" t="str">
        <x:v>Climate adaptation; DRR; community outreach; education</x:v>
      </x:c>
      <x:c r="P54" s="12" t="str">
        <x:v>Medium</x:v>
      </x:c>
      <x:c r="Q54" s="12" t="str">
        <x:v>Seed record - verify before outreach</x:v>
      </x:c>
      <x:c r="R54" s="14" t="str">
        <x:v>2026-07-08</x:v>
      </x:c>
    </x:row>
    <x:row r="55">
      <x:c r="A55" s="12" t="n">
        <x:v>54</x:v>
      </x:c>
      <x:c r="B55" s="12" t="str">
        <x:v>Azad Kashmir</x:v>
      </x:c>
      <x:c r="C55" s="12" t="str">
        <x:v>Azad Kashmir</x:v>
      </x:c>
      <x:c r="D55" s="12" t="str">
        <x:v>Pakistan-administered</x:v>
      </x:c>
      <x:c r="E55" s="12" t="str">
        <x:v>Anjuman Salar-e-Hawa</x:v>
      </x:c>
      <x:c r="F55" s="12" t="str">
        <x:v>Registered organization</x:v>
      </x:c>
      <x:c r="G55" s="12" t="str">
        <x:v>Community welfare / environment potential</x:v>
      </x:c>
      <x:c r="H55" s="12" t="str">
        <x:v>Climate; DRR; community outreach</x:v>
      </x:c>
      <x:c r="I55" s="12" t="str">
        <x:v>Registered under Societies Act according to fundsforNGOs listing; verify environment relevance.</x:v>
      </x:c>
      <x:c r="J55" s="12" t="str"/>
      <x:c r="K55" s="12" t="str"/>
      <x:c r="L55" s="12" t="str"/>
      <x:c r="M55" s="12" t="str">
        <x:v>https://www.fundsforngos.org/all-listings/anjuman-salar-e-hawa-azad-kashmir-pakistan/</x:v>
      </x:c>
      <x:c r="N55" s="12" t="str">
        <x:v>Tier 2 - Directory / public listing</x:v>
      </x:c>
      <x:c r="O55" s="12" t="str">
        <x:v>Climate adaptation; DRR; community outreach; education</x:v>
      </x:c>
      <x:c r="P55" s="12" t="str">
        <x:v>Medium</x:v>
      </x:c>
      <x:c r="Q55" s="12" t="str">
        <x:v>Seed record - verify before outreach</x:v>
      </x:c>
      <x:c r="R55" s="14" t="str">
        <x:v>2026-07-08</x:v>
      </x:c>
    </x:row>
    <x:row r="56">
      <x:c r="A56" s="12" t="n">
        <x:v>55</x:v>
      </x:c>
      <x:c r="B56" s="12" t="str">
        <x:v>Azad Kashmir</x:v>
      </x:c>
      <x:c r="C56" s="12" t="str">
        <x:v>AJK / Pakistan</x:v>
      </x:c>
      <x:c r="D56" s="12" t="str">
        <x:v>Pakistan-administered</x:v>
      </x:c>
      <x:c r="E56" s="12" t="str">
        <x:v>READ Foundation</x:v>
      </x:c>
      <x:c r="F56" s="12" t="str">
        <x:v>Education NGO</x:v>
      </x:c>
      <x:c r="G56" s="12" t="str">
        <x:v>Education / disaster resilience potential</x:v>
      </x:c>
      <x:c r="H56" s="12" t="str">
        <x:v>Climate; DRR; community outreach</x:v>
      </x:c>
      <x:c r="I56" s="12" t="str">
        <x:v>Large AJK-origin education nonprofit; useful for school eco-clubs and climate education.</x:v>
      </x:c>
      <x:c r="J56" s="12" t="str"/>
      <x:c r="K56" s="12" t="str"/>
      <x:c r="L56" s="12" t="str"/>
      <x:c r="M56" s="12" t="str">
        <x:v>https://www.readfoundation.org/</x:v>
      </x:c>
      <x:c r="N56" s="12" t="str">
        <x:v>Tier 2 - Public profile</x:v>
      </x:c>
      <x:c r="O56" s="12" t="str">
        <x:v>Climate adaptation; DRR; community outreach; education</x:v>
      </x:c>
      <x:c r="P56" s="12" t="str">
        <x:v>Medium</x:v>
      </x:c>
      <x:c r="Q56" s="12" t="str">
        <x:v>Seed record - verify before outreach</x:v>
      </x:c>
      <x:c r="R56" s="14" t="str">
        <x:v>2026-07-08</x:v>
      </x:c>
    </x:row>
    <x:row r="57">
      <x:c r="A57" s="12" t="n">
        <x:v>56</x:v>
      </x:c>
      <x:c r="B57" s="12" t="str">
        <x:v>Azad Kashmir</x:v>
      </x:c>
      <x:c r="C57" s="12" t="str">
        <x:v>AJK / Pakistan</x:v>
      </x:c>
      <x:c r="D57" s="12" t="str">
        <x:v>Pakistan-administered</x:v>
      </x:c>
      <x:c r="E57" s="12" t="str">
        <x:v>KORT - Kashmir Orphan Relief Trust</x:v>
      </x:c>
      <x:c r="F57" s="12" t="str">
        <x:v>Humanitarian charity</x:v>
      </x:c>
      <x:c r="G57" s="12" t="str">
        <x:v>Disaster relief / community resilience</x:v>
      </x:c>
      <x:c r="H57" s="12" t="str">
        <x:v>Climate; DRR; community outreach</x:v>
      </x:c>
      <x:c r="I57" s="12" t="str">
        <x:v>Strong community relief presence; verify environmental/DRR programs.</x:v>
      </x:c>
      <x:c r="J57" s="12" t="str"/>
      <x:c r="K57" s="12" t="str"/>
      <x:c r="L57" s="12" t="str"/>
      <x:c r="M57" s="12" t="str">
        <x:v>https://kort.org.uk/</x:v>
      </x:c>
      <x:c r="N57" s="12" t="str">
        <x:v>Tier 2 - Public profile</x:v>
      </x:c>
      <x:c r="O57" s="12" t="str">
        <x:v>Climate adaptation; DRR; community outreach; education</x:v>
      </x:c>
      <x:c r="P57" s="12" t="str">
        <x:v>Medium</x:v>
      </x:c>
      <x:c r="Q57" s="12" t="str">
        <x:v>Seed record - verify before outreach</x:v>
      </x:c>
      <x:c r="R57" s="14" t="str">
        <x:v>2026-07-08</x:v>
      </x:c>
    </x:row>
    <x:row r="58">
      <x:c r="A58" s="12" t="n">
        <x:v>57</x:v>
      </x:c>
      <x:c r="B58" s="12" t="str">
        <x:v>Azad Kashmir</x:v>
      </x:c>
      <x:c r="C58" s="12" t="str">
        <x:v>AJK</x:v>
      </x:c>
      <x:c r="D58" s="12" t="str">
        <x:v>Pakistan-administered</x:v>
      </x:c>
      <x:c r="E58" s="12" t="str">
        <x:v>AJK Rural Support Programme / community development networks</x:v>
      </x:c>
      <x:c r="F58" s="12" t="str">
        <x:v>Rural/community development</x:v>
      </x:c>
      <x:c r="G58" s="12" t="str">
        <x:v>Climate resilience / livelihoods</x:v>
      </x:c>
      <x:c r="H58" s="12" t="str">
        <x:v>Climate; DRR; community outreach</x:v>
      </x:c>
      <x:c r="I58" s="12" t="str">
        <x:v>Target for verification; may connect to livelihood and natural resource management.</x:v>
      </x:c>
      <x:c r="J58" s="12" t="str"/>
      <x:c r="K58" s="12" t="str"/>
      <x:c r="L58" s="12" t="str"/>
      <x:c r="M58" s="12" t="str">
        <x:v>https://www.google.com/search?q=Azad+Kashmir+rural+support+programme+environment</x:v>
      </x:c>
      <x:c r="N58" s="12" t="str">
        <x:v>Tier 3 - Needs verification</x:v>
      </x:c>
      <x:c r="O58" s="12" t="str">
        <x:v>Climate adaptation; DRR; community outreach; education</x:v>
      </x:c>
      <x:c r="P58" s="12" t="str">
        <x:v>Medium</x:v>
      </x:c>
      <x:c r="Q58" s="12" t="str">
        <x:v>Seed record - verify before outreach</x:v>
      </x:c>
      <x:c r="R58" s="14" t="str">
        <x:v>2026-07-08</x:v>
      </x:c>
    </x:row>
    <x:row r="59">
      <x:c r="A59" s="12" t="n">
        <x:v>58</x:v>
      </x:c>
      <x:c r="B59" s="12" t="str">
        <x:v>Azad Kashmir</x:v>
      </x:c>
      <x:c r="C59" s="12" t="str">
        <x:v>AJK</x:v>
      </x:c>
      <x:c r="D59" s="12" t="str">
        <x:v>Pakistan-administered</x:v>
      </x:c>
      <x:c r="E59" s="12" t="str">
        <x:v>Environmental Protection Society AJK</x:v>
      </x:c>
      <x:c r="F59" s="12" t="str">
        <x:v>Possible NGO/civic group</x:v>
      </x:c>
      <x:c r="G59" s="12" t="str">
        <x:v>Environment protection</x:v>
      </x:c>
      <x:c r="H59" s="12" t="str">
        <x:v>Climate; DRR; community outreach</x:v>
      </x:c>
      <x:c r="I59" s="12" t="str">
        <x:v>Search target; verify active organization and contacts.</x:v>
      </x:c>
      <x:c r="J59" s="12" t="str"/>
      <x:c r="K59" s="12" t="str"/>
      <x:c r="L59" s="12" t="str"/>
      <x:c r="M59" s="12" t="str">
        <x:v>https://www.google.com/search?q=Environmental+Protection+Society+Azad+Kashmir</x:v>
      </x:c>
      <x:c r="N59" s="12" t="str">
        <x:v>Tier 3 - Needs verification</x:v>
      </x:c>
      <x:c r="O59" s="12" t="str">
        <x:v>Climate adaptation; DRR; community outreach; education</x:v>
      </x:c>
      <x:c r="P59" s="12" t="str">
        <x:v>Medium</x:v>
      </x:c>
      <x:c r="Q59" s="12" t="str">
        <x:v>Seed record - verify before outreach</x:v>
      </x:c>
      <x:c r="R59" s="14" t="str">
        <x:v>2026-07-08</x:v>
      </x:c>
    </x:row>
    <x:row r="60">
      <x:c r="A60" s="12" t="n">
        <x:v>59</x:v>
      </x:c>
      <x:c r="B60" s="12" t="str">
        <x:v>Azad Kashmir</x:v>
      </x:c>
      <x:c r="C60" s="12" t="str">
        <x:v>Muzaffarabad</x:v>
      </x:c>
      <x:c r="D60" s="12" t="str">
        <x:v>Pakistan-administered</x:v>
      </x:c>
      <x:c r="E60" s="12" t="str">
        <x:v>AJK University / environmental societies</x:v>
      </x:c>
      <x:c r="F60" s="12" t="str">
        <x:v>Academic/civic group</x:v>
      </x:c>
      <x:c r="G60" s="12" t="str">
        <x:v>Environmental education</x:v>
      </x:c>
      <x:c r="H60" s="12" t="str">
        <x:v>Climate; DRR; community outreach</x:v>
      </x:c>
      <x:c r="I60" s="12" t="str">
        <x:v>Potential student eco-clubs and academic outreach partners.</x:v>
      </x:c>
      <x:c r="J60" s="12" t="str"/>
      <x:c r="K60" s="12" t="str"/>
      <x:c r="L60" s="12" t="str"/>
      <x:c r="M60" s="12" t="str">
        <x:v>https://www.google.com/search?q=University+of+Azad+Jammu+Kashmir+environmental+society</x:v>
      </x:c>
      <x:c r="N60" s="12" t="str">
        <x:v>Tier 3 - Needs verification</x:v>
      </x:c>
      <x:c r="O60" s="12" t="str">
        <x:v>Climate adaptation; DRR; community outreach; education</x:v>
      </x:c>
      <x:c r="P60" s="12" t="str">
        <x:v>Medium</x:v>
      </x:c>
      <x:c r="Q60" s="12" t="str">
        <x:v>Seed record - verify before outreach</x:v>
      </x:c>
      <x:c r="R60" s="14" t="str">
        <x:v>2026-07-08</x:v>
      </x:c>
    </x:row>
    <x:row r="61">
      <x:c r="A61" s="12" t="n">
        <x:v>60</x:v>
      </x:c>
      <x:c r="B61" s="12" t="str">
        <x:v>Azad Kashmir</x:v>
      </x:c>
      <x:c r="C61" s="12" t="str">
        <x:v>Muzaffarabad</x:v>
      </x:c>
      <x:c r="D61" s="12" t="str">
        <x:v>Pakistan-administered</x:v>
      </x:c>
      <x:c r="E61" s="12" t="str">
        <x:v>Green Kashmir Initiative AJK</x:v>
      </x:c>
      <x:c r="F61" s="12" t="str">
        <x:v>Unverified civic target</x:v>
      </x:c>
      <x:c r="G61" s="12" t="str">
        <x:v>Environment Protection</x:v>
      </x:c>
      <x:c r="H61" s="12" t="str">
        <x:v>Requires verification</x:v>
      </x:c>
      <x:c r="I61" s="12" t="str">
        <x:v>Candidate stakeholder name pattern for manual verification; do not use as confirmed NGO until verified.</x:v>
      </x:c>
      <x:c r="J61" s="12" t="str"/>
      <x:c r="K61" s="12" t="str"/>
      <x:c r="L61" s="12" t="str"/>
      <x:c r="M61" s="12" t="str">
        <x:v>https://www.google.com/search?q=Green+Kashmir+Initiative+AJK</x:v>
      </x:c>
      <x:c r="N61" s="12" t="str">
        <x:v>Tier 4 - Search target / not verified</x:v>
      </x:c>
      <x:c r="O61" s="12" t="str">
        <x:v>Prospecting only</x:v>
      </x:c>
      <x:c r="P61" s="12" t="str">
        <x:v>Low</x:v>
      </x:c>
      <x:c r="Q61" s="12" t="str">
        <x:v>Research queue - not verified as active NGO</x:v>
      </x:c>
      <x:c r="R61" s="14" t="str">
        <x:v>2026-07-08</x:v>
      </x:c>
    </x:row>
    <x:row r="62">
      <x:c r="A62" s="12" t="n">
        <x:v>61</x:v>
      </x:c>
      <x:c r="B62" s="12" t="str">
        <x:v>Azad Kashmir</x:v>
      </x:c>
      <x:c r="C62" s="12" t="str">
        <x:v>Neelum Valley</x:v>
      </x:c>
      <x:c r="D62" s="12" t="str">
        <x:v>Pakistan-administered</x:v>
      </x:c>
      <x:c r="E62" s="12" t="str">
        <x:v>Save Neelum Valley Environmental Volunteers</x:v>
      </x:c>
      <x:c r="F62" s="12" t="str">
        <x:v>Unverified civic target</x:v>
      </x:c>
      <x:c r="G62" s="12" t="str">
        <x:v>Waterways / tourism pressure</x:v>
      </x:c>
      <x:c r="H62" s="12" t="str">
        <x:v>Requires verification</x:v>
      </x:c>
      <x:c r="I62" s="12" t="str">
        <x:v>Candidate stakeholder name pattern for manual verification; do not use as confirmed NGO until verified.</x:v>
      </x:c>
      <x:c r="J62" s="12" t="str"/>
      <x:c r="K62" s="12" t="str"/>
      <x:c r="L62" s="12" t="str"/>
      <x:c r="M62" s="12" t="str">
        <x:v>https://www.google.com/search?q=Save+Neelum+Valley+Environmental+Volunteers</x:v>
      </x:c>
      <x:c r="N62" s="12" t="str">
        <x:v>Tier 4 - Search target / not verified</x:v>
      </x:c>
      <x:c r="O62" s="12" t="str">
        <x:v>Prospecting only</x:v>
      </x:c>
      <x:c r="P62" s="12" t="str">
        <x:v>Low</x:v>
      </x:c>
      <x:c r="Q62" s="12" t="str">
        <x:v>Research queue - not verified as active NGO</x:v>
      </x:c>
      <x:c r="R62" s="14" t="str">
        <x:v>2026-07-08</x:v>
      </x:c>
    </x:row>
    <x:row r="63">
      <x:c r="A63" s="12" t="n">
        <x:v>62</x:v>
      </x:c>
      <x:c r="B63" s="12" t="str">
        <x:v>Azad Kashmir</x:v>
      </x:c>
      <x:c r="C63" s="12" t="str">
        <x:v>Bagh</x:v>
      </x:c>
      <x:c r="D63" s="12" t="str">
        <x:v>Pakistan-administered</x:v>
      </x:c>
      <x:c r="E63" s="12" t="str">
        <x:v>Bagh Youth Climate Network</x:v>
      </x:c>
      <x:c r="F63" s="12" t="str">
        <x:v>Unverified civic target</x:v>
      </x:c>
      <x:c r="G63" s="12" t="str">
        <x:v>Climate education</x:v>
      </x:c>
      <x:c r="H63" s="12" t="str">
        <x:v>Requires verification</x:v>
      </x:c>
      <x:c r="I63" s="12" t="str">
        <x:v>Candidate stakeholder name pattern for manual verification; do not use as confirmed NGO until verified.</x:v>
      </x:c>
      <x:c r="J63" s="12" t="str"/>
      <x:c r="K63" s="12" t="str"/>
      <x:c r="L63" s="12" t="str"/>
      <x:c r="M63" s="12" t="str">
        <x:v>https://www.google.com/search?q=Bagh+Youth+Climate+Network</x:v>
      </x:c>
      <x:c r="N63" s="12" t="str">
        <x:v>Tier 4 - Search target / not verified</x:v>
      </x:c>
      <x:c r="O63" s="12" t="str">
        <x:v>Prospecting only</x:v>
      </x:c>
      <x:c r="P63" s="12" t="str">
        <x:v>Low</x:v>
      </x:c>
      <x:c r="Q63" s="12" t="str">
        <x:v>Research queue - not verified as active NGO</x:v>
      </x:c>
      <x:c r="R63" s="14" t="str">
        <x:v>2026-07-08</x:v>
      </x:c>
    </x:row>
    <x:row r="64">
      <x:c r="A64" s="12" t="n">
        <x:v>63</x:v>
      </x:c>
      <x:c r="B64" s="12" t="str">
        <x:v>Azad Kashmir</x:v>
      </x:c>
      <x:c r="C64" s="12" t="str">
        <x:v>Mirpur</x:v>
      </x:c>
      <x:c r="D64" s="12" t="str">
        <x:v>Pakistan-administered</x:v>
      </x:c>
      <x:c r="E64" s="12" t="str">
        <x:v>Mirpur Lake and Water Protection Volunteers</x:v>
      </x:c>
      <x:c r="F64" s="12" t="str">
        <x:v>Unverified civic target</x:v>
      </x:c>
      <x:c r="G64" s="12" t="str">
        <x:v>Water quality</x:v>
      </x:c>
      <x:c r="H64" s="12" t="str">
        <x:v>Requires verification</x:v>
      </x:c>
      <x:c r="I64" s="12" t="str">
        <x:v>Candidate stakeholder name pattern for manual verification; do not use as confirmed NGO until verified.</x:v>
      </x:c>
      <x:c r="J64" s="12" t="str"/>
      <x:c r="K64" s="12" t="str"/>
      <x:c r="L64" s="12" t="str"/>
      <x:c r="M64" s="12" t="str">
        <x:v>https://www.google.com/search?q=Mirpur+Lake+and+Water+Protection+Volunteers</x:v>
      </x:c>
      <x:c r="N64" s="12" t="str">
        <x:v>Tier 4 - Search target / not verified</x:v>
      </x:c>
      <x:c r="O64" s="12" t="str">
        <x:v>Prospecting only</x:v>
      </x:c>
      <x:c r="P64" s="12" t="str">
        <x:v>Low</x:v>
      </x:c>
      <x:c r="Q64" s="12" t="str">
        <x:v>Research queue - not verified as active NGO</x:v>
      </x:c>
      <x:c r="R64" s="14" t="str">
        <x:v>2026-07-08</x:v>
      </x:c>
    </x:row>
    <x:row r="65">
      <x:c r="A65" s="12" t="n">
        <x:v>64</x:v>
      </x:c>
      <x:c r="B65" s="12" t="str">
        <x:v>Azad Kashmir</x:v>
      </x:c>
      <x:c r="C65" s="12" t="str">
        <x:v>Poonch/Rawalakot</x:v>
      </x:c>
      <x:c r="D65" s="12" t="str">
        <x:v>Pakistan-administered</x:v>
      </x:c>
      <x:c r="E65" s="12" t="str">
        <x:v>Rawalakot Clean &amp; Green Network</x:v>
      </x:c>
      <x:c r="F65" s="12" t="str">
        <x:v>Unverified civic target</x:v>
      </x:c>
      <x:c r="G65" s="12" t="str">
        <x:v>Solid waste / urban greenery</x:v>
      </x:c>
      <x:c r="H65" s="12" t="str">
        <x:v>Requires verification</x:v>
      </x:c>
      <x:c r="I65" s="12" t="str">
        <x:v>Candidate stakeholder name pattern for manual verification; do not use as confirmed NGO until verified.</x:v>
      </x:c>
      <x:c r="J65" s="12" t="str"/>
      <x:c r="K65" s="12" t="str"/>
      <x:c r="L65" s="12" t="str"/>
      <x:c r="M65" s="12" t="str">
        <x:v>https://www.google.com/search?q=Rawalakot+Clean+&amp;+Green+Network</x:v>
      </x:c>
      <x:c r="N65" s="12" t="str">
        <x:v>Tier 4 - Search target / not verified</x:v>
      </x:c>
      <x:c r="O65" s="12" t="str">
        <x:v>Prospecting only</x:v>
      </x:c>
      <x:c r="P65" s="12" t="str">
        <x:v>Low</x:v>
      </x:c>
      <x:c r="Q65" s="12" t="str">
        <x:v>Research queue - not verified as active NGO</x:v>
      </x:c>
      <x:c r="R65" s="14" t="str">
        <x:v>2026-07-08</x:v>
      </x:c>
    </x:row>
    <x:row r="66">
      <x:c r="A66" s="12" t="n">
        <x:v>65</x:v>
      </x:c>
      <x:c r="B66" s="12" t="str">
        <x:v>Gilgit-Baltistan</x:v>
      </x:c>
      <x:c r="C66" s="12" t="str">
        <x:v>Skardu / Shigar / Khaplu</x:v>
      </x:c>
      <x:c r="D66" s="12" t="str">
        <x:v>Pakistan-administered</x:v>
      </x:c>
      <x:c r="E66" s="12" t="str">
        <x:v>Baltistan Wildlife Conservation and Development Organization (BWCDO)</x:v>
      </x:c>
      <x:c r="F66" s="12" t="str">
        <x:v>Community conservation NGO</x:v>
      </x:c>
      <x:c r="G66" s="12" t="str">
        <x:v>Snow leopard / human-wildlife conflict</x:v>
      </x:c>
      <x:c r="H66" s="12" t="str">
        <x:v>High mountain ecology; community; livelihoods</x:v>
      </x:c>
      <x:c r="I66" s="12" t="str">
        <x:v>Works in Baltistan since 1999; insurance scheme expanded to 17 villages and approx. 20,000 people; ~500,000 ha coverage in source.</x:v>
      </x:c>
      <x:c r="J66" s="12" t="str"/>
      <x:c r="K66" s="12" t="str"/>
      <x:c r="L66" s="12" t="str"/>
      <x:c r="M66" s="12" t="str">
        <x:v>https://www.equatorinitiative.org/wp-content/uploads/2019/02/BWCDO-Pakistan.pdf</x:v>
      </x:c>
      <x:c r="N66" s="12" t="str">
        <x:v>Tier 1 - UNDP case study</x:v>
      </x:c>
      <x:c r="O66" s="12" t="str">
        <x:v>Snow leopard; high mountain conservation; climate resilience; community conservation</x:v>
      </x:c>
      <x:c r="P66" s="12" t="str">
        <x:v>High</x:v>
      </x:c>
      <x:c r="Q66" s="12" t="str">
        <x:v>Seed record - verify before outreach</x:v>
      </x:c>
      <x:c r="R66" s="14" t="str">
        <x:v>2026-07-08</x:v>
      </x:c>
    </x:row>
    <x:row r="67">
      <x:c r="A67" s="12" t="n">
        <x:v>66</x:v>
      </x:c>
      <x:c r="B67" s="12" t="str">
        <x:v>Gilgit-Baltistan</x:v>
      </x:c>
      <x:c r="C67" s="12" t="str">
        <x:v>Ghulkin, Hunza</x:v>
      </x:c>
      <x:c r="D67" s="12" t="str">
        <x:v>Pakistan-administered</x:v>
      </x:c>
      <x:c r="E67" s="12" t="str">
        <x:v>Ghulkin Nature Conservation / GLAD</x:v>
      </x:c>
      <x:c r="F67" s="12" t="str">
        <x:v>Community conservation organization</x:v>
      </x:c>
      <x:c r="G67" s="12" t="str">
        <x:v>Community-managed wildlife / hunting revenue</x:v>
      </x:c>
      <x:c r="H67" s="12" t="str">
        <x:v>High mountain ecology; community; livelihoods</x:v>
      </x:c>
      <x:c r="I67" s="12" t="str">
        <x:v>Formed in 1993; conservation-linked revenue model; reinvestment in environment and community infrastructure reported.</x:v>
      </x:c>
      <x:c r="J67" s="12" t="str"/>
      <x:c r="K67" s="12" t="str"/>
      <x:c r="L67" s="12" t="str"/>
      <x:c r="M67" s="12" t="str">
        <x:v>https://conservationfrontlines.org/2022/12/community-based-conservation-in-pakistan-here-sustainability-means-if-it-pays-it-stays/</x:v>
      </x:c>
      <x:c r="N67" s="12" t="str">
        <x:v>Tier 2 - Case article</x:v>
      </x:c>
      <x:c r="O67" s="12" t="str">
        <x:v>Snow leopard; high mountain conservation; climate resilience; community conservation</x:v>
      </x:c>
      <x:c r="P67" s="12" t="str">
        <x:v>High</x:v>
      </x:c>
      <x:c r="Q67" s="12" t="str">
        <x:v>Seed record - verify before outreach</x:v>
      </x:c>
      <x:c r="R67" s="14" t="str">
        <x:v>2026-07-08</x:v>
      </x:c>
    </x:row>
    <x:row r="68">
      <x:c r="A68" s="12" t="n">
        <x:v>67</x:v>
      </x:c>
      <x:c r="B68" s="12" t="str">
        <x:v>Gilgit-Baltistan</x:v>
      </x:c>
      <x:c r="C68" s="12" t="str">
        <x:v>Gilgit-Baltistan / Pakistan</x:v>
      </x:c>
      <x:c r="D68" s="12" t="str">
        <x:v>Pakistan-administered</x:v>
      </x:c>
      <x:c r="E68" s="12" t="str">
        <x:v>Snow Leopard Foundation Pakistan</x:v>
      </x:c>
      <x:c r="F68" s="12" t="str">
        <x:v>Wildlife conservation NGO</x:v>
      </x:c>
      <x:c r="G68" s="12" t="str">
        <x:v>Snow leopard / ecosystems</x:v>
      </x:c>
      <x:c r="H68" s="12" t="str">
        <x:v>High mountain ecology; community; livelihoods</x:v>
      </x:c>
      <x:c r="I68" s="12" t="str">
        <x:v>National snow leopard conservation organization with GB relevance.</x:v>
      </x:c>
      <x:c r="J68" s="12" t="str"/>
      <x:c r="K68" s="12" t="str"/>
      <x:c r="L68" s="12" t="str"/>
      <x:c r="M68" s="12" t="str">
        <x:v>https://slf.org.pk/</x:v>
      </x:c>
      <x:c r="N68" s="12" t="str">
        <x:v>Tier 2 - Public profile</x:v>
      </x:c>
      <x:c r="O68" s="12" t="str">
        <x:v>Snow leopard; high mountain conservation; climate resilience; community conservation</x:v>
      </x:c>
      <x:c r="P68" s="12" t="str">
        <x:v>Medium</x:v>
      </x:c>
      <x:c r="Q68" s="12" t="str">
        <x:v>Seed record - verify before outreach</x:v>
      </x:c>
      <x:c r="R68" s="14" t="str">
        <x:v>2026-07-08</x:v>
      </x:c>
    </x:row>
    <x:row r="69">
      <x:c r="A69" s="12" t="n">
        <x:v>68</x:v>
      </x:c>
      <x:c r="B69" s="12" t="str">
        <x:v>Gilgit-Baltistan</x:v>
      </x:c>
      <x:c r="C69" s="12" t="str">
        <x:v>Gilgit-Baltistan / Pakistan</x:v>
      </x:c>
      <x:c r="D69" s="12" t="str">
        <x:v>Pakistan-administered</x:v>
      </x:c>
      <x:c r="E69" s="12" t="str">
        <x:v>World Wide Fund for Nature - Pakistan, Gilgit-Baltistan work</x:v>
      </x:c>
      <x:c r="F69" s="12" t="str">
        <x:v>INGO conservation NGO</x:v>
      </x:c>
      <x:c r="G69" s="12" t="str">
        <x:v>Biodiversity / water / climate</x:v>
      </x:c>
      <x:c r="H69" s="12" t="str">
        <x:v>High mountain ecology; community; livelihoods</x:v>
      </x:c>
      <x:c r="I69" s="12" t="str">
        <x:v>National office with Himalayan/Karakoram conservation relevance.</x:v>
      </x:c>
      <x:c r="J69" s="12" t="str"/>
      <x:c r="K69" s="12" t="str"/>
      <x:c r="L69" s="12" t="str"/>
      <x:c r="M69" s="12" t="str">
        <x:v>https://www.wwfpak.org/</x:v>
      </x:c>
      <x:c r="N69" s="12" t="str">
        <x:v>Tier 2 - Public profile</x:v>
      </x:c>
      <x:c r="O69" s="12" t="str">
        <x:v>Snow leopard; high mountain conservation; climate resilience; community conservation</x:v>
      </x:c>
      <x:c r="P69" s="12" t="str">
        <x:v>Medium</x:v>
      </x:c>
      <x:c r="Q69" s="12" t="str">
        <x:v>Seed record - verify before outreach</x:v>
      </x:c>
      <x:c r="R69" s="14" t="str">
        <x:v>2026-07-08</x:v>
      </x:c>
    </x:row>
    <x:row r="70">
      <x:c r="A70" s="12" t="n">
        <x:v>69</x:v>
      </x:c>
      <x:c r="B70" s="12" t="str">
        <x:v>Gilgit-Baltistan</x:v>
      </x:c>
      <x:c r="C70" s="12" t="str">
        <x:v>Gilgit-Baltistan / Chitral</x:v>
      </x:c>
      <x:c r="D70" s="12" t="str">
        <x:v>Pakistan-administered</x:v>
      </x:c>
      <x:c r="E70" s="12" t="str">
        <x:v>Aga Khan Rural Support Programme (AKRSP)</x:v>
      </x:c>
      <x:c r="F70" s="12" t="str">
        <x:v>Rural development NGO</x:v>
      </x:c>
      <x:c r="G70" s="12" t="str">
        <x:v>Climate resilience / livelihoods / natural resources</x:v>
      </x:c>
      <x:c r="H70" s="12" t="str">
        <x:v>High mountain ecology; community; livelihoods</x:v>
      </x:c>
      <x:c r="I70" s="12" t="str">
        <x:v>Major rural development institution in GB; relevant for adaptation, agriculture, livelihoods and community institutions.</x:v>
      </x:c>
      <x:c r="J70" s="12" t="str"/>
      <x:c r="K70" s="12" t="str"/>
      <x:c r="L70" s="12" t="str"/>
      <x:c r="M70" s="12" t="str">
        <x:v>https://akrsp.org.pk/</x:v>
      </x:c>
      <x:c r="N70" s="12" t="str">
        <x:v>Tier 2 - Public profile</x:v>
      </x:c>
      <x:c r="O70" s="12" t="str">
        <x:v>Snow leopard; high mountain conservation; climate resilience; community conservation</x:v>
      </x:c>
      <x:c r="P70" s="12" t="str">
        <x:v>High</x:v>
      </x:c>
      <x:c r="Q70" s="12" t="str">
        <x:v>Seed record - verify before outreach</x:v>
      </x:c>
      <x:c r="R70" s="14" t="str">
        <x:v>2026-07-08</x:v>
      </x:c>
    </x:row>
    <x:row r="71">
      <x:c r="A71" s="12" t="n">
        <x:v>70</x:v>
      </x:c>
      <x:c r="B71" s="12" t="str">
        <x:v>Gilgit-Baltistan</x:v>
      </x:c>
      <x:c r="C71" s="12" t="str">
        <x:v>Hunza / Gilgit-Baltistan</x:v>
      </x:c>
      <x:c r="D71" s="12" t="str">
        <x:v>Pakistan-administered</x:v>
      </x:c>
      <x:c r="E71" s="12" t="str">
        <x:v>Karakoram Area Development Organization (KADO)</x:v>
      </x:c>
      <x:c r="F71" s="12" t="str">
        <x:v>Development NGO</x:v>
      </x:c>
      <x:c r="G71" s="12" t="str">
        <x:v>Waste / livelihoods / disability / community</x:v>
      </x:c>
      <x:c r="H71" s="12" t="str">
        <x:v>High mountain ecology; community; livelihoods</x:v>
      </x:c>
      <x:c r="I71" s="12" t="str">
        <x:v>Community development in Hunza/GB; verify current environmental projects.</x:v>
      </x:c>
      <x:c r="J71" s="12" t="str"/>
      <x:c r="K71" s="12" t="str"/>
      <x:c r="L71" s="12" t="str"/>
      <x:c r="M71" s="12" t="str">
        <x:v>https://kadohunza.org/</x:v>
      </x:c>
      <x:c r="N71" s="12" t="str">
        <x:v>Tier 2 - Public profile</x:v>
      </x:c>
      <x:c r="O71" s="12" t="str">
        <x:v>Snow leopard; high mountain conservation; climate resilience; community conservation</x:v>
      </x:c>
      <x:c r="P71" s="12" t="str">
        <x:v>Medium</x:v>
      </x:c>
      <x:c r="Q71" s="12" t="str">
        <x:v>Seed record - verify before outreach</x:v>
      </x:c>
      <x:c r="R71" s="14" t="str">
        <x:v>2026-07-08</x:v>
      </x:c>
    </x:row>
    <x:row r="72">
      <x:c r="A72" s="12" t="n">
        <x:v>71</x:v>
      </x:c>
      <x:c r="B72" s="12" t="str">
        <x:v>Gilgit-Baltistan</x:v>
      </x:c>
      <x:c r="C72" s="12" t="str">
        <x:v>Gilgit-Baltistan / Pakistan</x:v>
      </x:c>
      <x:c r="D72" s="12" t="str">
        <x:v>Pakistan-administered</x:v>
      </x:c>
      <x:c r="E72" s="12" t="str">
        <x:v>Mountain Areas Conservancy Fund (MACF)</x:v>
      </x:c>
      <x:c r="F72" s="12" t="str">
        <x:v>Conservation fund / program</x:v>
      </x:c>
      <x:c r="G72" s="12" t="str">
        <x:v>Biodiversity conservation / community conservation</x:v>
      </x:c>
      <x:c r="H72" s="12" t="str">
        <x:v>High mountain ecology; community; livelihoods</x:v>
      </x:c>
      <x:c r="I72" s="12" t="str">
        <x:v>Pakistan mountain conservation fund/program connected to GEF/UNDP/government sources.</x:v>
      </x:c>
      <x:c r="J72" s="12" t="str"/>
      <x:c r="K72" s="12" t="str"/>
      <x:c r="L72" s="12" t="str"/>
      <x:c r="M72" s="12" t="str">
        <x:v>https://mocc.gov.pk/Detail/ZDY4MGRiMGEtZGFhZi00ZmYwLThjYjUtMGI4MDUyNmU0ODUx</x:v>
      </x:c>
      <x:c r="N72" s="12" t="str">
        <x:v>Tier 2 - Govt program profile</x:v>
      </x:c>
      <x:c r="O72" s="12" t="str">
        <x:v>Snow leopard; high mountain conservation; climate resilience; community conservation</x:v>
      </x:c>
      <x:c r="P72" s="12" t="str">
        <x:v>Medium</x:v>
      </x:c>
      <x:c r="Q72" s="12" t="str">
        <x:v>Seed record - verify before outreach</x:v>
      </x:c>
      <x:c r="R72" s="14" t="str">
        <x:v>2026-07-08</x:v>
      </x:c>
    </x:row>
    <x:row r="73">
      <x:c r="A73" s="12" t="n">
        <x:v>72</x:v>
      </x:c>
      <x:c r="B73" s="12" t="str">
        <x:v>Gilgit-Baltistan</x:v>
      </x:c>
      <x:c r="C73" s="12" t="str">
        <x:v>Skardu / Hunza / GB</x:v>
      </x:c>
      <x:c r="D73" s="12" t="str">
        <x:v>Pakistan-administered</x:v>
      </x:c>
      <x:c r="E73" s="12" t="str">
        <x:v>Central Karakoram National Park community institutions</x:v>
      </x:c>
      <x:c r="F73" s="12" t="str">
        <x:v>Community/government-linked network</x:v>
      </x:c>
      <x:c r="G73" s="12" t="str">
        <x:v>Protected areas / mountain ecosystems</x:v>
      </x:c>
      <x:c r="H73" s="12" t="str">
        <x:v>High mountain ecology; community; livelihoods</x:v>
      </x:c>
      <x:c r="I73" s="12" t="str">
        <x:v>Useful stakeholder cluster for protected-area governance; verify NGOs/CBOs individually.</x:v>
      </x:c>
      <x:c r="J73" s="12" t="str"/>
      <x:c r="K73" s="12" t="str"/>
      <x:c r="L73" s="12" t="str"/>
      <x:c r="M73" s="12" t="str">
        <x:v>https://fwegb.gov.pk/cmcas/</x:v>
      </x:c>
      <x:c r="N73" s="12" t="str">
        <x:v>Tier 2 - Govt context</x:v>
      </x:c>
      <x:c r="O73" s="12" t="str">
        <x:v>Snow leopard; high mountain conservation; climate resilience; community conservation</x:v>
      </x:c>
      <x:c r="P73" s="12" t="str">
        <x:v>Medium</x:v>
      </x:c>
      <x:c r="Q73" s="12" t="str">
        <x:v>Seed record - verify before outreach</x:v>
      </x:c>
      <x:c r="R73" s="14" t="str">
        <x:v>2026-07-08</x:v>
      </x:c>
    </x:row>
    <x:row r="74">
      <x:c r="A74" s="12" t="n">
        <x:v>73</x:v>
      </x:c>
      <x:c r="B74" s="12" t="str">
        <x:v>Gilgit-Baltistan</x:v>
      </x:c>
      <x:c r="C74" s="12" t="str">
        <x:v>Gilgit-Baltistan</x:v>
      </x:c>
      <x:c r="D74" s="12" t="str">
        <x:v>Pakistan-administered</x:v>
      </x:c>
      <x:c r="E74" s="12" t="str">
        <x:v>Progressive Climate Foundation (PCF) Gilgit-Baltistan</x:v>
      </x:c>
      <x:c r="F74" s="12" t="str">
        <x:v>Youth-led climate movement</x:v>
      </x:c>
      <x:c r="G74" s="12" t="str">
        <x:v>Climate action / youth</x:v>
      </x:c>
      <x:c r="H74" s="12" t="str">
        <x:v>High mountain ecology; community; livelihoods</x:v>
      </x:c>
      <x:c r="I74" s="12" t="str">
        <x:v>Public social source describes youth-led climate movement committed to conservation and climate action.</x:v>
      </x:c>
      <x:c r="J74" s="12" t="str"/>
      <x:c r="K74" s="12" t="str"/>
      <x:c r="L74" s="12" t="str"/>
      <x:c r="M74" s="12" t="str">
        <x:v>https://www.instagram.com/p/DZrfIxkvTyy/</x:v>
      </x:c>
      <x:c r="N74" s="12" t="str">
        <x:v>Tier 2 - Social/public source</x:v>
      </x:c>
      <x:c r="O74" s="12" t="str">
        <x:v>Snow leopard; high mountain conservation; climate resilience; community conservation</x:v>
      </x:c>
      <x:c r="P74" s="12" t="str">
        <x:v>Medium</x:v>
      </x:c>
      <x:c r="Q74" s="12" t="str">
        <x:v>Seed record - verify before outreach</x:v>
      </x:c>
      <x:c r="R74" s="14" t="str">
        <x:v>2026-07-08</x:v>
      </x:c>
    </x:row>
    <x:row r="75">
      <x:c r="A75" s="12" t="n">
        <x:v>74</x:v>
      </x:c>
      <x:c r="B75" s="12" t="str">
        <x:v>Gilgit-Baltistan</x:v>
      </x:c>
      <x:c r="C75" s="12" t="str">
        <x:v>GB / Pakistan</x:v>
      </x:c>
      <x:c r="D75" s="12" t="str">
        <x:v>Pakistan-administered</x:v>
      </x:c>
      <x:c r="E75" s="12" t="str">
        <x:v>Himalayan Wildlife Foundation - northern Pakistan relevance</x:v>
      </x:c>
      <x:c r="F75" s="12" t="str">
        <x:v>Wildlife conservation NGO</x:v>
      </x:c>
      <x:c r="G75" s="12" t="str">
        <x:v>Wildlife / protected areas</x:v>
      </x:c>
      <x:c r="H75" s="12" t="str">
        <x:v>High mountain ecology; community; livelihoods</x:v>
      </x:c>
      <x:c r="I75" s="12" t="str">
        <x:v>National conservation NGO; verify active GB projects.</x:v>
      </x:c>
      <x:c r="J75" s="12" t="str"/>
      <x:c r="K75" s="12" t="str"/>
      <x:c r="L75" s="12" t="str"/>
      <x:c r="M75" s="12" t="str">
        <x:v>https://hwfpak.org/</x:v>
      </x:c>
      <x:c r="N75" s="12" t="str">
        <x:v>Tier 3 - Needs project verification</x:v>
      </x:c>
      <x:c r="O75" s="12" t="str">
        <x:v>Snow leopard; high mountain conservation; climate resilience; community conservation</x:v>
      </x:c>
      <x:c r="P75" s="12" t="str">
        <x:v>Medium</x:v>
      </x:c>
      <x:c r="Q75" s="12" t="str">
        <x:v>Seed record - verify before outreach</x:v>
      </x:c>
      <x:c r="R75" s="14" t="str">
        <x:v>2026-07-08</x:v>
      </x:c>
    </x:row>
    <x:row r="76">
      <x:c r="A76" s="12" t="n">
        <x:v>75</x:v>
      </x:c>
      <x:c r="B76" s="12" t="str">
        <x:v>Gilgit-Baltistan</x:v>
      </x:c>
      <x:c r="C76" s="12" t="str">
        <x:v>Gilgit-Baltistan / Pakistan</x:v>
      </x:c>
      <x:c r="D76" s="12" t="str">
        <x:v>Pakistan-administered</x:v>
      </x:c>
      <x:c r="E76" s="12" t="str">
        <x:v>Hashoo Foundation - GB community/climate resilience</x:v>
      </x:c>
      <x:c r="F76" s="12" t="str">
        <x:v>Development foundation</x:v>
      </x:c>
      <x:c r="G76" s="12" t="str">
        <x:v>Livelihoods / resilience</x:v>
      </x:c>
      <x:c r="H76" s="12" t="str">
        <x:v>High mountain ecology; community; livelihoods</x:v>
      </x:c>
      <x:c r="I76" s="12" t="str">
        <x:v>Community development foundation; verify environmental programs.</x:v>
      </x:c>
      <x:c r="J76" s="12" t="str"/>
      <x:c r="K76" s="12" t="str"/>
      <x:c r="L76" s="12" t="str"/>
      <x:c r="M76" s="12" t="str">
        <x:v>https://hashoofoundation.org/</x:v>
      </x:c>
      <x:c r="N76" s="12" t="str">
        <x:v>Tier 3 - Needs project verification</x:v>
      </x:c>
      <x:c r="O76" s="12" t="str">
        <x:v>Snow leopard; high mountain conservation; climate resilience; community conservation</x:v>
      </x:c>
      <x:c r="P76" s="12" t="str">
        <x:v>Medium</x:v>
      </x:c>
      <x:c r="Q76" s="12" t="str">
        <x:v>Seed record - verify before outreach</x:v>
      </x:c>
      <x:c r="R76" s="14" t="str">
        <x:v>2026-07-08</x:v>
      </x:c>
    </x:row>
    <x:row r="77">
      <x:c r="A77" s="12" t="n">
        <x:v>76</x:v>
      </x:c>
      <x:c r="B77" s="12" t="str">
        <x:v>Gilgit-Baltistan</x:v>
      </x:c>
      <x:c r="C77" s="12" t="str">
        <x:v>Gilgit-Baltistan / Pakistan</x:v>
      </x:c>
      <x:c r="D77" s="12" t="str">
        <x:v>Pakistan-administered</x:v>
      </x:c>
      <x:c r="E77" s="12" t="str">
        <x:v>Rupani Foundation Pakistan - GB resilience work</x:v>
      </x:c>
      <x:c r="F77" s="12" t="str">
        <x:v>Development foundation</x:v>
      </x:c>
      <x:c r="G77" s="12" t="str">
        <x:v>Community resilience / livelihoods</x:v>
      </x:c>
      <x:c r="H77" s="12" t="str">
        <x:v>High mountain ecology; community; livelihoods</x:v>
      </x:c>
      <x:c r="I77" s="12" t="str">
        <x:v>Potential resilience and community development partner; verify environment fit.</x:v>
      </x:c>
      <x:c r="J77" s="12" t="str"/>
      <x:c r="K77" s="12" t="str"/>
      <x:c r="L77" s="12" t="str"/>
      <x:c r="M77" s="12" t="str">
        <x:v>https://rupanifoundation.org/</x:v>
      </x:c>
      <x:c r="N77" s="12" t="str">
        <x:v>Tier 3 - Needs project verification</x:v>
      </x:c>
      <x:c r="O77" s="12" t="str">
        <x:v>Snow leopard; high mountain conservation; climate resilience; community conservation</x:v>
      </x:c>
      <x:c r="P77" s="12" t="str">
        <x:v>Medium</x:v>
      </x:c>
      <x:c r="Q77" s="12" t="str">
        <x:v>Seed record - verify before outreach</x:v>
      </x:c>
      <x:c r="R77" s="14" t="str">
        <x:v>2026-07-08</x:v>
      </x:c>
    </x:row>
    <x:row r="78">
      <x:c r="A78" s="12" t="n">
        <x:v>77</x:v>
      </x:c>
      <x:c r="B78" s="12" t="str">
        <x:v>Gilgit-Baltistan</x:v>
      </x:c>
      <x:c r="C78" s="12" t="str">
        <x:v>Gilgit-Baltistan / Pakistan</x:v>
      </x:c>
      <x:c r="D78" s="12" t="str">
        <x:v>Pakistan-administered</x:v>
      </x:c>
      <x:c r="E78" s="12" t="str">
        <x:v>Aga Khan Foundation Pakistan</x:v>
      </x:c>
      <x:c r="F78" s="12" t="str">
        <x:v>Development foundation</x:v>
      </x:c>
      <x:c r="G78" s="12" t="str">
        <x:v>Climate resilience / livelihoods</x:v>
      </x:c>
      <x:c r="H78" s="12" t="str">
        <x:v>High mountain ecology; community; livelihoods</x:v>
      </x:c>
      <x:c r="I78" s="12" t="str">
        <x:v>Potential climate and community development partner in mountain areas.</x:v>
      </x:c>
      <x:c r="J78" s="12" t="str"/>
      <x:c r="K78" s="12" t="str"/>
      <x:c r="L78" s="12" t="str"/>
      <x:c r="M78" s="12" t="str">
        <x:v>https://the.akdn/en/where-we-work/south-asia/pakistan</x:v>
      </x:c>
      <x:c r="N78" s="12" t="str">
        <x:v>Tier 3 - Needs project verification</x:v>
      </x:c>
      <x:c r="O78" s="12" t="str">
        <x:v>Snow leopard; high mountain conservation; climate resilience; community conservation</x:v>
      </x:c>
      <x:c r="P78" s="12" t="str">
        <x:v>Medium</x:v>
      </x:c>
      <x:c r="Q78" s="12" t="str">
        <x:v>Seed record - verify before outreach</x:v>
      </x:c>
      <x:c r="R78" s="14" t="str">
        <x:v>2026-07-08</x:v>
      </x:c>
    </x:row>
    <x:row r="79">
      <x:c r="A79" s="12" t="n">
        <x:v>78</x:v>
      </x:c>
      <x:c r="B79" s="12" t="str">
        <x:v>Gilgit-Baltistan</x:v>
      </x:c>
      <x:c r="C79" s="12" t="str">
        <x:v>Gilgit-Baltistan / Pakistan</x:v>
      </x:c>
      <x:c r="D79" s="12" t="str">
        <x:v>Pakistan-administered</x:v>
      </x:c>
      <x:c r="E79" s="12" t="str">
        <x:v>Serena Hotels / SEED-style environmental programs GB</x:v>
      </x:c>
      <x:c r="F79" s="12" t="str">
        <x:v>Corporate sustainability program</x:v>
      </x:c>
      <x:c r="G79" s="12" t="str">
        <x:v>Responsible tourism / waste</x:v>
      </x:c>
      <x:c r="H79" s="12" t="str">
        <x:v>High mountain ecology; community; livelihoods</x:v>
      </x:c>
      <x:c r="I79" s="12" t="str">
        <x:v>Potential CSR and responsible tourism partner; verify local programs.</x:v>
      </x:c>
      <x:c r="J79" s="12" t="str"/>
      <x:c r="K79" s="12" t="str"/>
      <x:c r="L79" s="12" t="str"/>
      <x:c r="M79" s="12" t="str">
        <x:v>https://www.serenahotels.com/</x:v>
      </x:c>
      <x:c r="N79" s="12" t="str">
        <x:v>Tier 4 - CSR prospect</x:v>
      </x:c>
      <x:c r="O79" s="12" t="str">
        <x:v>Snow leopard; high mountain conservation; climate resilience; community conservation</x:v>
      </x:c>
      <x:c r="P79" s="12" t="str">
        <x:v>Medium</x:v>
      </x:c>
      <x:c r="Q79" s="12" t="str">
        <x:v>Seed record - verify before outreach</x:v>
      </x:c>
      <x:c r="R79" s="14" t="str">
        <x:v>2026-07-08</x:v>
      </x:c>
    </x:row>
    <x:row r="80">
      <x:c r="A80" s="12" t="n">
        <x:v>79</x:v>
      </x:c>
      <x:c r="B80" s="12" t="str">
        <x:v>Regional / International</x:v>
      </x:c>
      <x:c r="C80" s="12" t="str">
        <x:v>Hindu Kush Himalaya</x:v>
      </x:c>
      <x:c r="D80" s="12" t="str">
        <x:v>Cross-border</x:v>
      </x:c>
      <x:c r="E80" s="12" t="str">
        <x:v>ICIMOD - International Centre for Integrated Mountain Development</x:v>
      </x:c>
      <x:c r="F80" s="12" t="str">
        <x:v>Intergovernmental knowledge centre</x:v>
      </x:c>
      <x:c r="G80" s="12" t="str">
        <x:v>Climate / cryosphere / mountains</x:v>
      </x:c>
      <x:c r="H80" s="12" t="str">
        <x:v>Technical support; policy; research; partnerships</x:v>
      </x:c>
      <x:c r="I80" s="12" t="str">
        <x:v>Regional HKH science, policy and knowledge partner.</x:v>
      </x:c>
      <x:c r="J80" s="12" t="str"/>
      <x:c r="K80" s="12" t="str"/>
      <x:c r="L80" s="12" t="str"/>
      <x:c r="M80" s="12" t="str">
        <x:v>https://www.icimod.org/</x:v>
      </x:c>
      <x:c r="N80" s="12" t="str">
        <x:v>Tier 1 - Official organizational profile</x:v>
      </x:c>
      <x:c r="O80" s="12" t="str">
        <x:v>Technical partnership; methods; standards; grant networks</x:v>
      </x:c>
      <x:c r="P80" s="12" t="str">
        <x:v>High</x:v>
      </x:c>
      <x:c r="Q80" s="12" t="str">
        <x:v>Seed record - verify before outreach</x:v>
      </x:c>
      <x:c r="R80" s="14" t="str">
        <x:v>2026-07-08</x:v>
      </x:c>
    </x:row>
    <x:row r="81">
      <x:c r="A81" s="12" t="n">
        <x:v>80</x:v>
      </x:c>
      <x:c r="B81" s="12" t="str">
        <x:v>Regional / International</x:v>
      </x:c>
      <x:c r="C81" s="12" t="str">
        <x:v>Pakistan / AJK / GB relevance</x:v>
      </x:c>
      <x:c r="D81" s="12" t="str">
        <x:v>Cross-border</x:v>
      </x:c>
      <x:c r="E81" s="12" t="str">
        <x:v>IUCN Pakistan</x:v>
      </x:c>
      <x:c r="F81" s="12" t="str">
        <x:v>IUCN office</x:v>
      </x:c>
      <x:c r="G81" s="12" t="str">
        <x:v>Environment policy / biodiversity</x:v>
      </x:c>
      <x:c r="H81" s="12" t="str">
        <x:v>Technical support; policy; research; partnerships</x:v>
      </x:c>
      <x:c r="I81" s="12" t="str">
        <x:v>IUCN network relevant to AJK/GB conservation policy and institutions.</x:v>
      </x:c>
      <x:c r="J81" s="12" t="str"/>
      <x:c r="K81" s="12" t="str"/>
      <x:c r="L81" s="12" t="str"/>
      <x:c r="M81" s="12" t="str">
        <x:v>https://iucn.org/our-work/region/asia/countries/pakistan</x:v>
      </x:c>
      <x:c r="N81" s="12" t="str">
        <x:v>Tier 1 - Official organizational profile</x:v>
      </x:c>
      <x:c r="O81" s="12" t="str">
        <x:v>Technical partnership; methods; standards; grant networks</x:v>
      </x:c>
      <x:c r="P81" s="12" t="str">
        <x:v>High</x:v>
      </x:c>
      <x:c r="Q81" s="12" t="str">
        <x:v>Seed record - verify before outreach</x:v>
      </x:c>
      <x:c r="R81" s="14" t="str">
        <x:v>2026-07-08</x:v>
      </x:c>
    </x:row>
    <x:row r="82">
      <x:c r="A82" s="12" t="n">
        <x:v>81</x:v>
      </x:c>
      <x:c r="B82" s="12" t="str">
        <x:v>Regional / International</x:v>
      </x:c>
      <x:c r="C82" s="12" t="str">
        <x:v>India / J&amp;K / Ladakh relevance</x:v>
      </x:c>
      <x:c r="D82" s="12" t="str">
        <x:v>Cross-border</x:v>
      </x:c>
      <x:c r="E82" s="12" t="str">
        <x:v>IUCN India</x:v>
      </x:c>
      <x:c r="F82" s="12" t="str">
        <x:v>IUCN office</x:v>
      </x:c>
      <x:c r="G82" s="12" t="str">
        <x:v>Biodiversity / nature-based solutions</x:v>
      </x:c>
      <x:c r="H82" s="12" t="str">
        <x:v>Technical support; policy; research; partnerships</x:v>
      </x:c>
      <x:c r="I82" s="12" t="str">
        <x:v>IUCN network relevant for India-side Himalayan conservation.</x:v>
      </x:c>
      <x:c r="J82" s="12" t="str"/>
      <x:c r="K82" s="12" t="str"/>
      <x:c r="L82" s="12" t="str"/>
      <x:c r="M82" s="12" t="str">
        <x:v>https://iucn.org/our-work/region/asia/countries/india</x:v>
      </x:c>
      <x:c r="N82" s="12" t="str">
        <x:v>Tier 1 - Official organizational profile</x:v>
      </x:c>
      <x:c r="O82" s="12" t="str">
        <x:v>Technical partnership; methods; standards; grant networks</x:v>
      </x:c>
      <x:c r="P82" s="12" t="str">
        <x:v>High</x:v>
      </x:c>
      <x:c r="Q82" s="12" t="str">
        <x:v>Seed record - verify before outreach</x:v>
      </x:c>
      <x:c r="R82" s="14" t="str">
        <x:v>2026-07-08</x:v>
      </x:c>
    </x:row>
    <x:row r="83">
      <x:c r="A83" s="12" t="n">
        <x:v>82</x:v>
      </x:c>
      <x:c r="B83" s="12" t="str">
        <x:v>Regional / International</x:v>
      </x:c>
      <x:c r="C83" s="12" t="str">
        <x:v>South Asia / Kashmir relevance</x:v>
      </x:c>
      <x:c r="D83" s="12" t="str">
        <x:v>Cross-border</x:v>
      </x:c>
      <x:c r="E83" s="12" t="str">
        <x:v>Wetlands International South Asia</x:v>
      </x:c>
      <x:c r="F83" s="12" t="str">
        <x:v>International NGO</x:v>
      </x:c>
      <x:c r="G83" s="12" t="str">
        <x:v>Wetlands / waterbirds</x:v>
      </x:c>
      <x:c r="H83" s="12" t="str">
        <x:v>Technical support; policy; research; partnerships</x:v>
      </x:c>
      <x:c r="I83" s="12" t="str">
        <x:v>High-value technical partner for wetland inventories and Ramsar-style monitoring.</x:v>
      </x:c>
      <x:c r="J83" s="12" t="str"/>
      <x:c r="K83" s="12" t="str"/>
      <x:c r="L83" s="12" t="str"/>
      <x:c r="M83" s="12" t="str">
        <x:v>https://south-asia.wetlands.org/</x:v>
      </x:c>
      <x:c r="N83" s="12" t="str">
        <x:v>Tier 1 - Official organizational profile</x:v>
      </x:c>
      <x:c r="O83" s="12" t="str">
        <x:v>Technical partnership; methods; standards; grant networks</x:v>
      </x:c>
      <x:c r="P83" s="12" t="str">
        <x:v>High</x:v>
      </x:c>
      <x:c r="Q83" s="12" t="str">
        <x:v>Seed record - verify before outreach</x:v>
      </x:c>
      <x:c r="R83" s="14" t="str">
        <x:v>2026-07-08</x:v>
      </x:c>
    </x:row>
    <x:row r="84">
      <x:c r="A84" s="12" t="n">
        <x:v>83</x:v>
      </x:c>
      <x:c r="B84" s="12" t="str">
        <x:v>Regional / International</x:v>
      </x:c>
      <x:c r="C84" s="12" t="str">
        <x:v>India / South Asia</x:v>
      </x:c>
      <x:c r="D84" s="12" t="str">
        <x:v>Cross-border</x:v>
      </x:c>
      <x:c r="E84" s="12" t="str">
        <x:v>The Climate Reality Project India &amp; South Asia</x:v>
      </x:c>
      <x:c r="F84" s="12" t="str">
        <x:v>Climate NGO / network</x:v>
      </x:c>
      <x:c r="G84" s="12" t="str">
        <x:v>Climate awareness / leadership</x:v>
      </x:c>
      <x:c r="H84" s="12" t="str">
        <x:v>Technical support; policy; research; partnerships</x:v>
      </x:c>
      <x:c r="I84" s="12" t="str">
        <x:v>Climate advocacy and education network; useful for campaigns and training.</x:v>
      </x:c>
      <x:c r="J84" s="12" t="str"/>
      <x:c r="K84" s="12" t="str"/>
      <x:c r="L84" s="12" t="str"/>
      <x:c r="M84" s="12" t="str">
        <x:v>https://www.climatereality.org.in/</x:v>
      </x:c>
      <x:c r="N84" s="12" t="str">
        <x:v>Tier 1 - Official organizational profile</x:v>
      </x:c>
      <x:c r="O84" s="12" t="str">
        <x:v>Technical partnership; methods; standards; grant networks</x:v>
      </x:c>
      <x:c r="P84" s="12" t="str">
        <x:v>High</x:v>
      </x:c>
      <x:c r="Q84" s="12" t="str">
        <x:v>Seed record - verify before outreach</x:v>
      </x:c>
      <x:c r="R84" s="14" t="str">
        <x:v>2026-07-08</x:v>
      </x:c>
    </x:row>
    <x:row r="85">
      <x:c r="A85" s="12" t="n">
        <x:v>84</x:v>
      </x:c>
      <x:c r="B85" s="12" t="str">
        <x:v>Regional / International</x:v>
      </x:c>
      <x:c r="C85" s="12" t="str">
        <x:v>South Asia</x:v>
      </x:c>
      <x:c r="D85" s="12" t="str">
        <x:v>Cross-border</x:v>
      </x:c>
      <x:c r="E85" s="12" t="str">
        <x:v>BirdLife International partner networks</x:v>
      </x:c>
      <x:c r="F85" s="12" t="str">
        <x:v>Conservation network</x:v>
      </x:c>
      <x:c r="G85" s="12" t="str">
        <x:v>Birds / IBAs / wetlands</x:v>
      </x:c>
      <x:c r="H85" s="12" t="str">
        <x:v>Technical support; policy; research; partnerships</x:v>
      </x:c>
      <x:c r="I85" s="12" t="str">
        <x:v>Relevant for bird and wetland monitoring collaborations.</x:v>
      </x:c>
      <x:c r="J85" s="12" t="str"/>
      <x:c r="K85" s="12" t="str"/>
      <x:c r="L85" s="12" t="str"/>
      <x:c r="M85" s="12" t="str">
        <x:v>https://www.birdlife.org/</x:v>
      </x:c>
      <x:c r="N85" s="12" t="str">
        <x:v>Tier 1 - Official organizational profile</x:v>
      </x:c>
      <x:c r="O85" s="12" t="str">
        <x:v>Technical partnership; methods; standards; grant networks</x:v>
      </x:c>
      <x:c r="P85" s="12" t="str">
        <x:v>High</x:v>
      </x:c>
      <x:c r="Q85" s="12" t="str">
        <x:v>Seed record - verify before outreach</x:v>
      </x:c>
      <x:c r="R85" s="14" t="str">
        <x:v>2026-07-08</x:v>
      </x:c>
    </x:row>
    <x:row r="86">
      <x:c r="A86" s="12" t="n">
        <x:v>85</x:v>
      </x:c>
      <x:c r="B86" s="12" t="str">
        <x:v>Regional / International</x:v>
      </x:c>
      <x:c r="C86" s="12" t="str">
        <x:v>South / Central Asia relevance</x:v>
      </x:c>
      <x:c r="D86" s="12" t="str">
        <x:v>Cross-border</x:v>
      </x:c>
      <x:c r="E86" s="12" t="str">
        <x:v>Wildlife Conservation Society (WCS)</x:v>
      </x:c>
      <x:c r="F86" s="12" t="str">
        <x:v>Conservation NGO</x:v>
      </x:c>
      <x:c r="G86" s="12" t="str">
        <x:v>Wildlife / landscape conservation</x:v>
      </x:c>
      <x:c r="H86" s="12" t="str">
        <x:v>Technical support; policy; research; partnerships</x:v>
      </x:c>
      <x:c r="I86" s="12" t="str">
        <x:v>Potential high mountain wildlife research and conservation partner.</x:v>
      </x:c>
      <x:c r="J86" s="12" t="str"/>
      <x:c r="K86" s="12" t="str"/>
      <x:c r="L86" s="12" t="str"/>
      <x:c r="M86" s="12" t="str">
        <x:v>https://www.wcs.org/</x:v>
      </x:c>
      <x:c r="N86" s="12" t="str">
        <x:v>Tier 1 - Official organizational profile</x:v>
      </x:c>
      <x:c r="O86" s="12" t="str">
        <x:v>Technical partnership; methods; standards; grant networks</x:v>
      </x:c>
      <x:c r="P86" s="12" t="str">
        <x:v>High</x:v>
      </x:c>
      <x:c r="Q86" s="12" t="str">
        <x:v>Seed record - verify before outreach</x:v>
      </x:c>
      <x:c r="R86" s="14" t="str">
        <x:v>2026-07-08</x:v>
      </x:c>
    </x:row>
    <x:row r="87">
      <x:c r="A87" s="12" t="n">
        <x:v>86</x:v>
      </x:c>
      <x:c r="B87" s="12" t="str">
        <x:v>Regional / International</x:v>
      </x:c>
      <x:c r="C87" s="12" t="str">
        <x:v>High Asia / snow leopard range</x:v>
      </x:c>
      <x:c r="D87" s="12" t="str">
        <x:v>Cross-border</x:v>
      </x:c>
      <x:c r="E87" s="12" t="str">
        <x:v>Snow Leopard Trust</x:v>
      </x:c>
      <x:c r="F87" s="12" t="str">
        <x:v>Conservation NGO</x:v>
      </x:c>
      <x:c r="G87" s="12" t="str">
        <x:v>Snow leopard / community conservation</x:v>
      </x:c>
      <x:c r="H87" s="12" t="str">
        <x:v>Technical support; policy; research; partnerships</x:v>
      </x:c>
      <x:c r="I87" s="12" t="str">
        <x:v>Global snow leopard conservation partner relevant to Ladakh and GB.</x:v>
      </x:c>
      <x:c r="J87" s="12" t="str"/>
      <x:c r="K87" s="12" t="str"/>
      <x:c r="L87" s="12" t="str"/>
      <x:c r="M87" s="12" t="str">
        <x:v>https://snowleopard.org/</x:v>
      </x:c>
      <x:c r="N87" s="12" t="str">
        <x:v>Tier 1 - Official organizational profile</x:v>
      </x:c>
      <x:c r="O87" s="12" t="str">
        <x:v>Technical partnership; methods; standards; grant networks</x:v>
      </x:c>
      <x:c r="P87" s="12" t="str">
        <x:v>High</x:v>
      </x:c>
      <x:c r="Q87" s="12" t="str">
        <x:v>Seed record - verify before outreach</x:v>
      </x:c>
      <x:c r="R87" s="14" t="str">
        <x:v>2026-07-08</x:v>
      </x:c>
    </x:row>
    <x:row r="88">
      <x:c r="A88" s="12" t="n">
        <x:v>87</x:v>
      </x:c>
      <x:c r="B88" s="12" t="str">
        <x:v>Regional / International</x:v>
      </x:c>
      <x:c r="C88" s="12" t="str">
        <x:v>Global / GB case source</x:v>
      </x:c>
      <x:c r="D88" s="12" t="str">
        <x:v>Cross-border</x:v>
      </x:c>
      <x:c r="E88" s="12" t="str">
        <x:v>UNDP Equator Initiative</x:v>
      </x:c>
      <x:c r="F88" s="12" t="str">
        <x:v>UN programme</x:v>
      </x:c>
      <x:c r="G88" s="12" t="str">
        <x:v>Community conservation / indigenous solutions</x:v>
      </x:c>
      <x:c r="H88" s="12" t="str">
        <x:v>Technical support; policy; research; partnerships</x:v>
      </x:c>
      <x:c r="I88" s="12" t="str">
        <x:v>Source for BWCDO case and community conservation models.</x:v>
      </x:c>
      <x:c r="J88" s="12" t="str"/>
      <x:c r="K88" s="12" t="str"/>
      <x:c r="L88" s="12" t="str"/>
      <x:c r="M88" s="12" t="str">
        <x:v>https://www.equatorinitiative.org/</x:v>
      </x:c>
      <x:c r="N88" s="12" t="str">
        <x:v>Tier 1 - Official organizational profile</x:v>
      </x:c>
      <x:c r="O88" s="12" t="str">
        <x:v>Technical partnership; methods; standards; grant networks</x:v>
      </x:c>
      <x:c r="P88" s="12" t="str">
        <x:v>High</x:v>
      </x:c>
      <x:c r="Q88" s="12" t="str">
        <x:v>Seed record - verify before outreach</x:v>
      </x:c>
      <x:c r="R88" s="14" t="str">
        <x:v>2026-07-08</x:v>
      </x:c>
    </x:row>
    <x:row r="89">
      <x:c r="A89" s="12" t="n">
        <x:v>88</x:v>
      </x:c>
      <x:c r="B89" s="12" t="str">
        <x:v>Regional / International</x:v>
      </x:c>
      <x:c r="C89" s="12" t="str">
        <x:v>Global / Ladakh profile source</x:v>
      </x:c>
      <x:c r="D89" s="12" t="str">
        <x:v>Cross-border</x:v>
      </x:c>
      <x:c r="E89" s="12" t="str">
        <x:v>FAO Mountain Partnership</x:v>
      </x:c>
      <x:c r="F89" s="12" t="str">
        <x:v>UN partnership</x:v>
      </x:c>
      <x:c r="G89" s="12" t="str">
        <x:v>Mountains / sustainable development</x:v>
      </x:c>
      <x:c r="H89" s="12" t="str">
        <x:v>Technical support; policy; research; partnerships</x:v>
      </x:c>
      <x:c r="I89" s="12" t="str">
        <x:v>Source for LEDeG profile and mountain partnership network.</x:v>
      </x:c>
      <x:c r="J89" s="12" t="str"/>
      <x:c r="K89" s="12" t="str"/>
      <x:c r="L89" s="12" t="str"/>
      <x:c r="M89" s="12" t="str">
        <x:v>https://www.fao.org/mountain-partnership/en/</x:v>
      </x:c>
      <x:c r="N89" s="12" t="str">
        <x:v>Tier 1 - Official organizational profile</x:v>
      </x:c>
      <x:c r="O89" s="12" t="str">
        <x:v>Technical partnership; methods; standards; grant networks</x:v>
      </x:c>
      <x:c r="P89" s="12" t="str">
        <x:v>High</x:v>
      </x:c>
      <x:c r="Q89" s="12" t="str">
        <x:v>Seed record - verify before outreach</x:v>
      </x:c>
      <x:c r="R89" s="14" t="str">
        <x:v>2026-07-08</x:v>
      </x:c>
    </x:row>
    <x:row r="90">
      <x:c r="A90" s="12" t="n">
        <x:v>89</x:v>
      </x:c>
      <x:c r="B90" s="12" t="str">
        <x:v>Jammu &amp; Kashmir</x:v>
      </x:c>
      <x:c r="C90" s="12" t="str">
        <x:v>Srinagar</x:v>
      </x:c>
      <x:c r="D90" s="12" t="str">
        <x:v>India</x:v>
      </x:c>
      <x:c r="E90" s="12" t="str">
        <x:v>Adventure Tour Operators Association of Kashmir - environment wing/prospects</x:v>
      </x:c>
      <x:c r="F90" s="12" t="str">
        <x:v>Tourism association</x:v>
      </x:c>
      <x:c r="G90" s="12" t="str">
        <x:v>Sustainable tourism / waste</x:v>
      </x:c>
      <x:c r="H90" s="12" t="str">
        <x:v>Stakeholder mapping / outreach</x:v>
      </x:c>
      <x:c r="I90" s="12" t="str">
        <x:v>Tourism operators can be linked to waste, trekking route conservation and ecological compliance.</x:v>
      </x:c>
      <x:c r="J90" s="12" t="str"/>
      <x:c r="K90" s="12" t="str"/>
      <x:c r="L90" s="12" t="str"/>
      <x:c r="M90" s="12" t="str">
        <x:v>https://www.google.com/search?q=Adventure+Tour+Operators+Association+of+Kashmir+-+environment+wing/prospects</x:v>
      </x:c>
      <x:c r="N90" s="12" t="str">
        <x:v>Tier 4 - Stakeholder prospect / verify</x:v>
      </x:c>
      <x:c r="O90" s="12" t="str">
        <x:v>Network expansion; community intelligence; public campaigns</x:v>
      </x:c>
      <x:c r="P90" s="12" t="str">
        <x:v>Low</x:v>
      </x:c>
      <x:c r="Q90" s="12" t="str">
        <x:v>Research queue - stakeholder cluster, not verified NGO</x:v>
      </x:c>
      <x:c r="R90" s="14" t="str">
        <x:v>2026-07-08</x:v>
      </x:c>
    </x:row>
    <x:row r="91">
      <x:c r="A91" s="12" t="n">
        <x:v>90</x:v>
      </x:c>
      <x:c r="B91" s="12" t="str">
        <x:v>Jammu &amp; Kashmir</x:v>
      </x:c>
      <x:c r="C91" s="12" t="str">
        <x:v>Srinagar</x:v>
      </x:c>
      <x:c r="D91" s="12" t="str">
        <x:v>India</x:v>
      </x:c>
      <x:c r="E91" s="12" t="str">
        <x:v>Travel Agents Association of Kashmir - sustainability prospect</x:v>
      </x:c>
      <x:c r="F91" s="12" t="str">
        <x:v>Trade association</x:v>
      </x:c>
      <x:c r="G91" s="12" t="str">
        <x:v>Sustainable tourism</x:v>
      </x:c>
      <x:c r="H91" s="12" t="str">
        <x:v>Stakeholder mapping / outreach</x:v>
      </x:c>
      <x:c r="I91" s="12" t="str">
        <x:v>Potential outreach partner for tourism pressure, vehicle emissions and lake/wetland responsibility.</x:v>
      </x:c>
      <x:c r="J91" s="12" t="str"/>
      <x:c r="K91" s="12" t="str"/>
      <x:c r="L91" s="12" t="str"/>
      <x:c r="M91" s="12" t="str">
        <x:v>https://www.google.com/search?q=Travel+Agents+Association+of+Kashmir+-+sustainability+prospect</x:v>
      </x:c>
      <x:c r="N91" s="12" t="str">
        <x:v>Tier 4 - Stakeholder prospect / verify</x:v>
      </x:c>
      <x:c r="O91" s="12" t="str">
        <x:v>Network expansion; community intelligence; public campaigns</x:v>
      </x:c>
      <x:c r="P91" s="12" t="str">
        <x:v>Low</x:v>
      </x:c>
      <x:c r="Q91" s="12" t="str">
        <x:v>Research queue - stakeholder cluster, not verified NGO</x:v>
      </x:c>
      <x:c r="R91" s="14" t="str">
        <x:v>2026-07-08</x:v>
      </x:c>
    </x:row>
    <x:row r="92">
      <x:c r="A92" s="12" t="n">
        <x:v>91</x:v>
      </x:c>
      <x:c r="B92" s="12" t="str">
        <x:v>Jammu &amp; Kashmir</x:v>
      </x:c>
      <x:c r="C92" s="12" t="str">
        <x:v>Srinagar</x:v>
      </x:c>
      <x:c r="D92" s="12" t="str">
        <x:v>India</x:v>
      </x:c>
      <x:c r="E92" s="12" t="str">
        <x:v>Houseboat Owners Association - Dal/Nigeen impact stakeholder</x:v>
      </x:c>
      <x:c r="F92" s="12" t="str">
        <x:v>Trade/community association</x:v>
      </x:c>
      <x:c r="G92" s="12" t="str">
        <x:v>Lake ecology / sewage / waste</x:v>
      </x:c>
      <x:c r="H92" s="12" t="str">
        <x:v>Stakeholder mapping / outreach</x:v>
      </x:c>
      <x:c r="I92" s="12" t="str">
        <x:v>Critical stakeholder in lake conservation; not NGO but important impact actor.</x:v>
      </x:c>
      <x:c r="J92" s="12" t="str"/>
      <x:c r="K92" s="12" t="str"/>
      <x:c r="L92" s="12" t="str"/>
      <x:c r="M92" s="12" t="str">
        <x:v>https://www.google.com/search?q=Houseboat+Owners+Association+-+Dal/Nigeen+impact+stakeholder</x:v>
      </x:c>
      <x:c r="N92" s="12" t="str">
        <x:v>Tier 4 - Stakeholder prospect / verify</x:v>
      </x:c>
      <x:c r="O92" s="12" t="str">
        <x:v>Network expansion; community intelligence; public campaigns</x:v>
      </x:c>
      <x:c r="P92" s="12" t="str">
        <x:v>Low</x:v>
      </x:c>
      <x:c r="Q92" s="12" t="str">
        <x:v>Research queue - stakeholder cluster, not verified NGO</x:v>
      </x:c>
      <x:c r="R92" s="14" t="str">
        <x:v>2026-07-08</x:v>
      </x:c>
    </x:row>
    <x:row r="93">
      <x:c r="A93" s="12" t="n">
        <x:v>92</x:v>
      </x:c>
      <x:c r="B93" s="12" t="str">
        <x:v>Jammu &amp; Kashmir</x:v>
      </x:c>
      <x:c r="C93" s="12" t="str">
        <x:v>Srinagar</x:v>
      </x:c>
      <x:c r="D93" s="12" t="str">
        <x:v>India</x:v>
      </x:c>
      <x:c r="E93" s="12" t="str">
        <x:v>Shikara Association / Dal Lake water transport stakeholder</x:v>
      </x:c>
      <x:c r="F93" s="12" t="str">
        <x:v>Community/trade association</x:v>
      </x:c>
      <x:c r="G93" s="12" t="str">
        <x:v>Lake ecology / water transport</x:v>
      </x:c>
      <x:c r="H93" s="12" t="str">
        <x:v>Stakeholder mapping / outreach</x:v>
      </x:c>
      <x:c r="I93" s="12" t="str">
        <x:v>Important stakeholder for waterway discipline, public education and waste management.</x:v>
      </x:c>
      <x:c r="J93" s="12" t="str"/>
      <x:c r="K93" s="12" t="str"/>
      <x:c r="L93" s="12" t="str"/>
      <x:c r="M93" s="12" t="str">
        <x:v>https://www.google.com/search?q=Shikara+Association+/+Dal+Lake+water+transport+stakeholder</x:v>
      </x:c>
      <x:c r="N93" s="12" t="str">
        <x:v>Tier 4 - Stakeholder prospect / verify</x:v>
      </x:c>
      <x:c r="O93" s="12" t="str">
        <x:v>Network expansion; community intelligence; public campaigns</x:v>
      </x:c>
      <x:c r="P93" s="12" t="str">
        <x:v>Low</x:v>
      </x:c>
      <x:c r="Q93" s="12" t="str">
        <x:v>Research queue - stakeholder cluster, not verified NGO</x:v>
      </x:c>
      <x:c r="R93" s="14" t="str">
        <x:v>2026-07-08</x:v>
      </x:c>
    </x:row>
    <x:row r="94">
      <x:c r="A94" s="12" t="n">
        <x:v>93</x:v>
      </x:c>
      <x:c r="B94" s="12" t="str">
        <x:v>Jammu &amp; Kashmir</x:v>
      </x:c>
      <x:c r="C94" s="12" t="str">
        <x:v>Srinagar</x:v>
      </x:c>
      <x:c r="D94" s="12" t="str">
        <x:v>India</x:v>
      </x:c>
      <x:c r="E94" s="12" t="str">
        <x:v>Municipal waste volunteer groups Srinagar</x:v>
      </x:c>
      <x:c r="F94" s="12" t="str">
        <x:v>Civic volunteer networks</x:v>
      </x:c>
      <x:c r="G94" s="12" t="str">
        <x:v>Solid waste / plastic</x:v>
      </x:c>
      <x:c r="H94" s="12" t="str">
        <x:v>Stakeholder mapping / outreach</x:v>
      </x:c>
      <x:c r="I94" s="12" t="str">
        <x:v>Search target for KEW waste campaign coalition.</x:v>
      </x:c>
      <x:c r="J94" s="12" t="str"/>
      <x:c r="K94" s="12" t="str"/>
      <x:c r="L94" s="12" t="str"/>
      <x:c r="M94" s="12" t="str">
        <x:v>https://www.google.com/search?q=Municipal+waste+volunteer+groups+Srinagar</x:v>
      </x:c>
      <x:c r="N94" s="12" t="str">
        <x:v>Tier 4 - Stakeholder prospect / verify</x:v>
      </x:c>
      <x:c r="O94" s="12" t="str">
        <x:v>Network expansion; community intelligence; public campaigns</x:v>
      </x:c>
      <x:c r="P94" s="12" t="str">
        <x:v>Low</x:v>
      </x:c>
      <x:c r="Q94" s="12" t="str">
        <x:v>Research queue - stakeholder cluster, not verified NGO</x:v>
      </x:c>
      <x:c r="R94" s="14" t="str">
        <x:v>2026-07-08</x:v>
      </x:c>
    </x:row>
    <x:row r="95">
      <x:c r="A95" s="12" t="n">
        <x:v>94</x:v>
      </x:c>
      <x:c r="B95" s="12" t="str">
        <x:v>Jammu &amp; Kashmir</x:v>
      </x:c>
      <x:c r="C95" s="12" t="str">
        <x:v>Kashmir Valley</x:v>
      </x:c>
      <x:c r="D95" s="12" t="str">
        <x:v>India</x:v>
      </x:c>
      <x:c r="E95" s="12" t="str">
        <x:v>School eco-clubs in Kashmir - PSAJK network prospect</x:v>
      </x:c>
      <x:c r="F95" s="12" t="str">
        <x:v>School network</x:v>
      </x:c>
      <x:c r="G95" s="12" t="str">
        <x:v>Environmental education</x:v>
      </x:c>
      <x:c r="H95" s="12" t="str">
        <x:v>Stakeholder mapping / outreach</x:v>
      </x:c>
      <x:c r="I95" s="12" t="str">
        <x:v>High-reach outreach channel for green campus and solid waste education.</x:v>
      </x:c>
      <x:c r="J95" s="12" t="str"/>
      <x:c r="K95" s="12" t="str"/>
      <x:c r="L95" s="12" t="str"/>
      <x:c r="M95" s="12" t="str">
        <x:v>https://www.google.com/search?q=School+eco-clubs+in+Kashmir+-+PSAJK+network+prospect</x:v>
      </x:c>
      <x:c r="N95" s="12" t="str">
        <x:v>Tier 4 - Stakeholder prospect / verify</x:v>
      </x:c>
      <x:c r="O95" s="12" t="str">
        <x:v>Network expansion; community intelligence; public campaigns</x:v>
      </x:c>
      <x:c r="P95" s="12" t="str">
        <x:v>Low</x:v>
      </x:c>
      <x:c r="Q95" s="12" t="str">
        <x:v>Research queue - stakeholder cluster, not verified NGO</x:v>
      </x:c>
      <x:c r="R95" s="14" t="str">
        <x:v>2026-07-08</x:v>
      </x:c>
    </x:row>
    <x:row r="96">
      <x:c r="A96" s="12" t="n">
        <x:v>95</x:v>
      </x:c>
      <x:c r="B96" s="12" t="str">
        <x:v>Jammu &amp; Kashmir</x:v>
      </x:c>
      <x:c r="C96" s="12" t="str">
        <x:v>Srinagar</x:v>
      </x:c>
      <x:c r="D96" s="12" t="str">
        <x:v>India</x:v>
      </x:c>
      <x:c r="E96" s="12" t="str">
        <x:v>University of Kashmir Environmental Science Alumni Network</x:v>
      </x:c>
      <x:c r="F96" s="12" t="str">
        <x:v>Academic alumni network</x:v>
      </x:c>
      <x:c r="G96" s="12" t="str">
        <x:v>Research / policy support</x:v>
      </x:c>
      <x:c r="H96" s="12" t="str">
        <x:v>Stakeholder mapping / outreach</x:v>
      </x:c>
      <x:c r="I96" s="12" t="str">
        <x:v>Potential to build student-researcher advocacy pipeline.</x:v>
      </x:c>
      <x:c r="J96" s="12" t="str"/>
      <x:c r="K96" s="12" t="str"/>
      <x:c r="L96" s="12" t="str"/>
      <x:c r="M96" s="12" t="str">
        <x:v>https://www.google.com/search?q=University+of+Kashmir+Environmental+Science+Alumni+Network</x:v>
      </x:c>
      <x:c r="N96" s="12" t="str">
        <x:v>Tier 4 - Stakeholder prospect / verify</x:v>
      </x:c>
      <x:c r="O96" s="12" t="str">
        <x:v>Network expansion; community intelligence; public campaigns</x:v>
      </x:c>
      <x:c r="P96" s="12" t="str">
        <x:v>Low</x:v>
      </x:c>
      <x:c r="Q96" s="12" t="str">
        <x:v>Research queue - stakeholder cluster, not verified NGO</x:v>
      </x:c>
      <x:c r="R96" s="14" t="str">
        <x:v>2026-07-08</x:v>
      </x:c>
    </x:row>
    <x:row r="97">
      <x:c r="A97" s="12" t="n">
        <x:v>96</x:v>
      </x:c>
      <x:c r="B97" s="12" t="str">
        <x:v>Jammu &amp; Kashmir</x:v>
      </x:c>
      <x:c r="C97" s="12" t="str">
        <x:v>Srinagar</x:v>
      </x:c>
      <x:c r="D97" s="12" t="str">
        <x:v>India</x:v>
      </x:c>
      <x:c r="E97" s="12" t="str">
        <x:v>Cluster University Srinagar Environmental Sciences student groups</x:v>
      </x:c>
      <x:c r="F97" s="12" t="str">
        <x:v>Academic/student group</x:v>
      </x:c>
      <x:c r="G97" s="12" t="str">
        <x:v>Environmental education / field action</x:v>
      </x:c>
      <x:c r="H97" s="12" t="str">
        <x:v>Stakeholder mapping / outreach</x:v>
      </x:c>
      <x:c r="I97" s="12" t="str">
        <x:v>Potential district-level public science/outreach partner.</x:v>
      </x:c>
      <x:c r="J97" s="12" t="str"/>
      <x:c r="K97" s="12" t="str"/>
      <x:c r="L97" s="12" t="str"/>
      <x:c r="M97" s="12" t="str">
        <x:v>https://www.google.com/search?q=Cluster+University+Srinagar+Environmental+Sciences+student+groups</x:v>
      </x:c>
      <x:c r="N97" s="12" t="str">
        <x:v>Tier 4 - Stakeholder prospect / verify</x:v>
      </x:c>
      <x:c r="O97" s="12" t="str">
        <x:v>Network expansion; community intelligence; public campaigns</x:v>
      </x:c>
      <x:c r="P97" s="12" t="str">
        <x:v>Low</x:v>
      </x:c>
      <x:c r="Q97" s="12" t="str">
        <x:v>Research queue - stakeholder cluster, not verified NGO</x:v>
      </x:c>
      <x:c r="R97" s="14" t="str">
        <x:v>2026-07-08</x:v>
      </x:c>
    </x:row>
    <x:row r="98">
      <x:c r="A98" s="12" t="n">
        <x:v>97</x:v>
      </x:c>
      <x:c r="B98" s="12" t="str">
        <x:v>Jammu &amp; Kashmir</x:v>
      </x:c>
      <x:c r="C98" s="12" t="str">
        <x:v>Ganderbal</x:v>
      </x:c>
      <x:c r="D98" s="12" t="str">
        <x:v>India</x:v>
      </x:c>
      <x:c r="E98" s="12" t="str">
        <x:v>Central University of Kashmir environmental/climate groups</x:v>
      </x:c>
      <x:c r="F98" s="12" t="str">
        <x:v>Academic/student group</x:v>
      </x:c>
      <x:c r="G98" s="12" t="str">
        <x:v>Environmental education / research</x:v>
      </x:c>
      <x:c r="H98" s="12" t="str">
        <x:v>Stakeholder mapping / outreach</x:v>
      </x:c>
      <x:c r="I98" s="12" t="str">
        <x:v>Potential research and policy partner.</x:v>
      </x:c>
      <x:c r="J98" s="12" t="str"/>
      <x:c r="K98" s="12" t="str"/>
      <x:c r="L98" s="12" t="str"/>
      <x:c r="M98" s="12" t="str">
        <x:v>https://www.google.com/search?q=Central+University+of+Kashmir+environmental/climate+groups</x:v>
      </x:c>
      <x:c r="N98" s="12" t="str">
        <x:v>Tier 4 - Stakeholder prospect / verify</x:v>
      </x:c>
      <x:c r="O98" s="12" t="str">
        <x:v>Network expansion; community intelligence; public campaigns</x:v>
      </x:c>
      <x:c r="P98" s="12" t="str">
        <x:v>Low</x:v>
      </x:c>
      <x:c r="Q98" s="12" t="str">
        <x:v>Research queue - stakeholder cluster, not verified NGO</x:v>
      </x:c>
      <x:c r="R98" s="14" t="str">
        <x:v>2026-07-08</x:v>
      </x:c>
    </x:row>
    <x:row r="99">
      <x:c r="A99" s="12" t="n">
        <x:v>98</x:v>
      </x:c>
      <x:c r="B99" s="12" t="str">
        <x:v>Jammu &amp; Kashmir</x:v>
      </x:c>
      <x:c r="C99" s="12" t="str">
        <x:v>Kashmir Valley</x:v>
      </x:c>
      <x:c r="D99" s="12" t="str">
        <x:v>India</x:v>
      </x:c>
      <x:c r="E99" s="12" t="str">
        <x:v>SKUAST-K environmental/agroecology extension networks</x:v>
      </x:c>
      <x:c r="F99" s="12" t="str">
        <x:v>Academic/extension network</x:v>
      </x:c>
      <x:c r="G99" s="12" t="str">
        <x:v>Agroecology / water / climate</x:v>
      </x:c>
      <x:c r="H99" s="12" t="str">
        <x:v>Stakeholder mapping / outreach</x:v>
      </x:c>
      <x:c r="I99" s="12" t="str">
        <x:v>Agriculture-climate-water interface partner.</x:v>
      </x:c>
      <x:c r="J99" s="12" t="str"/>
      <x:c r="K99" s="12" t="str"/>
      <x:c r="L99" s="12" t="str"/>
      <x:c r="M99" s="12" t="str">
        <x:v>https://www.google.com/search?q=SKUAST-K+environmental/agroecology+extension+networks</x:v>
      </x:c>
      <x:c r="N99" s="12" t="str">
        <x:v>Tier 4 - Stakeholder prospect / verify</x:v>
      </x:c>
      <x:c r="O99" s="12" t="str">
        <x:v>Network expansion; community intelligence; public campaigns</x:v>
      </x:c>
      <x:c r="P99" s="12" t="str">
        <x:v>Low</x:v>
      </x:c>
      <x:c r="Q99" s="12" t="str">
        <x:v>Research queue - stakeholder cluster, not verified NGO</x:v>
      </x:c>
      <x:c r="R99" s="14" t="str">
        <x:v>2026-07-08</x:v>
      </x:c>
    </x:row>
    <x:row r="100">
      <x:c r="A100" s="12" t="n">
        <x:v>99</x:v>
      </x:c>
      <x:c r="B100" s="12" t="str">
        <x:v>Jammu &amp; Kashmir</x:v>
      </x:c>
      <x:c r="C100" s="12" t="str">
        <x:v>Jammu</x:v>
      </x:c>
      <x:c r="D100" s="12" t="str">
        <x:v>India</x:v>
      </x:c>
      <x:c r="E100" s="12" t="str">
        <x:v>University of Jammu environmental student/faculty networks</x:v>
      </x:c>
      <x:c r="F100" s="12" t="str">
        <x:v>Academic/student group</x:v>
      </x:c>
      <x:c r="G100" s="12" t="str">
        <x:v>Environmental education / research</x:v>
      </x:c>
      <x:c r="H100" s="12" t="str">
        <x:v>Stakeholder mapping / outreach</x:v>
      </x:c>
      <x:c r="I100" s="12" t="str">
        <x:v>Potential Jammu division partner.</x:v>
      </x:c>
      <x:c r="J100" s="12" t="str"/>
      <x:c r="K100" s="12" t="str"/>
      <x:c r="L100" s="12" t="str"/>
      <x:c r="M100" s="12" t="str">
        <x:v>https://www.google.com/search?q=University+of+Jammu+environmental+student/faculty+networks</x:v>
      </x:c>
      <x:c r="N100" s="12" t="str">
        <x:v>Tier 4 - Stakeholder prospect / verify</x:v>
      </x:c>
      <x:c r="O100" s="12" t="str">
        <x:v>Network expansion; community intelligence; public campaigns</x:v>
      </x:c>
      <x:c r="P100" s="12" t="str">
        <x:v>Low</x:v>
      </x:c>
      <x:c r="Q100" s="12" t="str">
        <x:v>Research queue - stakeholder cluster, not verified NGO</x:v>
      </x:c>
      <x:c r="R100" s="14" t="str">
        <x:v>2026-07-08</x:v>
      </x:c>
    </x:row>
    <x:row r="101">
      <x:c r="A101" s="12" t="n">
        <x:v>100</x:v>
      </x:c>
      <x:c r="B101" s="12" t="str">
        <x:v>Jammu &amp; Kashmir</x:v>
      </x:c>
      <x:c r="C101" s="12" t="str">
        <x:v>Jammu/Samba</x:v>
      </x:c>
      <x:c r="D101" s="12" t="str">
        <x:v>India</x:v>
      </x:c>
      <x:c r="E101" s="12" t="str">
        <x:v>Central University of Jammu environmental science networks</x:v>
      </x:c>
      <x:c r="F101" s="12" t="str">
        <x:v>Academic/student group</x:v>
      </x:c>
      <x:c r="G101" s="12" t="str">
        <x:v>Environmental education / research</x:v>
      </x:c>
      <x:c r="H101" s="12" t="str">
        <x:v>Stakeholder mapping / outreach</x:v>
      </x:c>
      <x:c r="I101" s="12" t="str">
        <x:v>Potential southern Jammu partner.</x:v>
      </x:c>
      <x:c r="J101" s="12" t="str"/>
      <x:c r="K101" s="12" t="str"/>
      <x:c r="L101" s="12" t="str"/>
      <x:c r="M101" s="12" t="str">
        <x:v>https://www.google.com/search?q=Central+University+of+Jammu+environmental+science+networks</x:v>
      </x:c>
      <x:c r="N101" s="12" t="str">
        <x:v>Tier 4 - Stakeholder prospect / verify</x:v>
      </x:c>
      <x:c r="O101" s="12" t="str">
        <x:v>Network expansion; community intelligence; public campaigns</x:v>
      </x:c>
      <x:c r="P101" s="12" t="str">
        <x:v>Low</x:v>
      </x:c>
      <x:c r="Q101" s="12" t="str">
        <x:v>Research queue - stakeholder cluster, not verified NGO</x:v>
      </x:c>
      <x:c r="R101" s="14" t="str">
        <x:v>2026-07-08</x:v>
      </x:c>
    </x:row>
    <x:row r="102">
      <x:c r="A102" s="12" t="n">
        <x:v>101</x:v>
      </x:c>
      <x:c r="B102" s="12" t="str">
        <x:v>Jammu &amp; Kashmir</x:v>
      </x:c>
      <x:c r="C102" s="12" t="str">
        <x:v>Doda/Bhaderwah</x:v>
      </x:c>
      <x:c r="D102" s="12" t="str">
        <x:v>India</x:v>
      </x:c>
      <x:c r="E102" s="12" t="str">
        <x:v>Bhaderwah Campus / Chenab valley ecological groups</x:v>
      </x:c>
      <x:c r="F102" s="12" t="str">
        <x:v>Academic/community network</x:v>
      </x:c>
      <x:c r="G102" s="12" t="str">
        <x:v>Forests / biodiversity / springs</x:v>
      </x:c>
      <x:c r="H102" s="12" t="str">
        <x:v>Stakeholder mapping / outreach</x:v>
      </x:c>
      <x:c r="I102" s="12" t="str">
        <x:v>Potential Chenab valley biodiversity and watershed partner.</x:v>
      </x:c>
      <x:c r="J102" s="12" t="str"/>
      <x:c r="K102" s="12" t="str"/>
      <x:c r="L102" s="12" t="str"/>
      <x:c r="M102" s="12" t="str">
        <x:v>https://www.google.com/search?q=Bhaderwah+Campus+/+Chenab+valley+ecological+groups</x:v>
      </x:c>
      <x:c r="N102" s="12" t="str">
        <x:v>Tier 4 - Stakeholder prospect / verify</x:v>
      </x:c>
      <x:c r="O102" s="12" t="str">
        <x:v>Network expansion; community intelligence; public campaigns</x:v>
      </x:c>
      <x:c r="P102" s="12" t="str">
        <x:v>Low</x:v>
      </x:c>
      <x:c r="Q102" s="12" t="str">
        <x:v>Research queue - stakeholder cluster, not verified NGO</x:v>
      </x:c>
      <x:c r="R102" s="14" t="str">
        <x:v>2026-07-08</x:v>
      </x:c>
    </x:row>
    <x:row r="103">
      <x:c r="A103" s="12" t="n">
        <x:v>102</x:v>
      </x:c>
      <x:c r="B103" s="12" t="str">
        <x:v>Jammu &amp; Kashmir</x:v>
      </x:c>
      <x:c r="C103" s="12" t="str">
        <x:v>Kishtwar</x:v>
      </x:c>
      <x:c r="D103" s="12" t="str">
        <x:v>India</x:v>
      </x:c>
      <x:c r="E103" s="12" t="str">
        <x:v>Kishtwar High Altitude conservation volunteers</x:v>
      </x:c>
      <x:c r="F103" s="12" t="str">
        <x:v>Civic/community prospect</x:v>
      </x:c>
      <x:c r="G103" s="12" t="str">
        <x:v>Forests / wildlife / hydropower impacts</x:v>
      </x:c>
      <x:c r="H103" s="12" t="str">
        <x:v>Stakeholder mapping / outreach</x:v>
      </x:c>
      <x:c r="I103" s="12" t="str">
        <x:v>Search target for Chenab/Kishtwar environmental monitoring.</x:v>
      </x:c>
      <x:c r="J103" s="12" t="str"/>
      <x:c r="K103" s="12" t="str"/>
      <x:c r="L103" s="12" t="str"/>
      <x:c r="M103" s="12" t="str">
        <x:v>https://www.google.com/search?q=Kishtwar+High+Altitude+conservation+volunteers</x:v>
      </x:c>
      <x:c r="N103" s="12" t="str">
        <x:v>Tier 4 - Stakeholder prospect / verify</x:v>
      </x:c>
      <x:c r="O103" s="12" t="str">
        <x:v>Network expansion; community intelligence; public campaigns</x:v>
      </x:c>
      <x:c r="P103" s="12" t="str">
        <x:v>Low</x:v>
      </x:c>
      <x:c r="Q103" s="12" t="str">
        <x:v>Research queue - stakeholder cluster, not verified NGO</x:v>
      </x:c>
      <x:c r="R103" s="14" t="str">
        <x:v>2026-07-08</x:v>
      </x:c>
    </x:row>
    <x:row r="104">
      <x:c r="A104" s="12" t="n">
        <x:v>103</x:v>
      </x:c>
      <x:c r="B104" s="12" t="str">
        <x:v>Jammu &amp; Kashmir</x:v>
      </x:c>
      <x:c r="C104" s="12" t="str">
        <x:v>Poonch/Rajouri</x:v>
      </x:c>
      <x:c r="D104" s="12" t="str">
        <x:v>India</x:v>
      </x:c>
      <x:c r="E104" s="12" t="str">
        <x:v>Poonch-Rajouri biodiversity volunteer networks</x:v>
      </x:c>
      <x:c r="F104" s="12" t="str">
        <x:v>Civic/community prospect</x:v>
      </x:c>
      <x:c r="G104" s="12" t="str">
        <x:v>Forests / wildlife corridors</x:v>
      </x:c>
      <x:c r="H104" s="12" t="str">
        <x:v>Stakeholder mapping / outreach</x:v>
      </x:c>
      <x:c r="I104" s="12" t="str">
        <x:v>Search target for Pir Panjal conservation mapping.</x:v>
      </x:c>
      <x:c r="J104" s="12" t="str"/>
      <x:c r="K104" s="12" t="str"/>
      <x:c r="L104" s="12" t="str"/>
      <x:c r="M104" s="12" t="str">
        <x:v>https://www.google.com/search?q=Poonch-Rajouri+biodiversity+volunteer+networks</x:v>
      </x:c>
      <x:c r="N104" s="12" t="str">
        <x:v>Tier 4 - Stakeholder prospect / verify</x:v>
      </x:c>
      <x:c r="O104" s="12" t="str">
        <x:v>Network expansion; community intelligence; public campaigns</x:v>
      </x:c>
      <x:c r="P104" s="12" t="str">
        <x:v>Low</x:v>
      </x:c>
      <x:c r="Q104" s="12" t="str">
        <x:v>Research queue - stakeholder cluster, not verified NGO</x:v>
      </x:c>
      <x:c r="R104" s="14" t="str">
        <x:v>2026-07-08</x:v>
      </x:c>
    </x:row>
    <x:row r="105">
      <x:c r="A105" s="12" t="n">
        <x:v>104</x:v>
      </x:c>
      <x:c r="B105" s="12" t="str">
        <x:v>Jammu &amp; Kashmir</x:v>
      </x:c>
      <x:c r="C105" s="12" t="str">
        <x:v>Bandipora</x:v>
      </x:c>
      <x:c r="D105" s="12" t="str">
        <x:v>India</x:v>
      </x:c>
      <x:c r="E105" s="12" t="str">
        <x:v>Wular Lake community conservation stakeholders</x:v>
      </x:c>
      <x:c r="F105" s="12" t="str">
        <x:v>Community/civic stakeholders</x:v>
      </x:c>
      <x:c r="G105" s="12" t="str">
        <x:v>Wetlands / fisheries / water quality</x:v>
      </x:c>
      <x:c r="H105" s="12" t="str">
        <x:v>Stakeholder mapping / outreach</x:v>
      </x:c>
      <x:c r="I105" s="12" t="str">
        <x:v>Impact stakeholder cluster for Wular monitoring; verify active NGOs.</x:v>
      </x:c>
      <x:c r="J105" s="12" t="str"/>
      <x:c r="K105" s="12" t="str"/>
      <x:c r="L105" s="12" t="str"/>
      <x:c r="M105" s="12" t="str">
        <x:v>https://www.google.com/search?q=Wular+Lake+community+conservation+stakeholders</x:v>
      </x:c>
      <x:c r="N105" s="12" t="str">
        <x:v>Tier 4 - Stakeholder prospect / verify</x:v>
      </x:c>
      <x:c r="O105" s="12" t="str">
        <x:v>Network expansion; community intelligence; public campaigns</x:v>
      </x:c>
      <x:c r="P105" s="12" t="str">
        <x:v>Low</x:v>
      </x:c>
      <x:c r="Q105" s="12" t="str">
        <x:v>Research queue - stakeholder cluster, not verified NGO</x:v>
      </x:c>
      <x:c r="R105" s="14" t="str">
        <x:v>2026-07-08</x:v>
      </x:c>
    </x:row>
    <x:row r="106">
      <x:c r="A106" s="12" t="n">
        <x:v>105</x:v>
      </x:c>
      <x:c r="B106" s="12" t="str">
        <x:v>Jammu &amp; Kashmir</x:v>
      </x:c>
      <x:c r="C106" s="12" t="str">
        <x:v>Srinagar/Budgam</x:v>
      </x:c>
      <x:c r="D106" s="12" t="str">
        <x:v>India</x:v>
      </x:c>
      <x:c r="E106" s="12" t="str">
        <x:v>Hokersar wetland local conservation volunteers</x:v>
      </x:c>
      <x:c r="F106" s="12" t="str">
        <x:v>Community/civic stakeholders</x:v>
      </x:c>
      <x:c r="G106" s="12" t="str">
        <x:v>Wetlands / birds / encroachment</x:v>
      </x:c>
      <x:c r="H106" s="12" t="str">
        <x:v>Stakeholder mapping / outreach</x:v>
      </x:c>
      <x:c r="I106" s="12" t="str">
        <x:v>Impact stakeholder cluster for wetland citizen science.</x:v>
      </x:c>
      <x:c r="J106" s="12" t="str"/>
      <x:c r="K106" s="12" t="str"/>
      <x:c r="L106" s="12" t="str"/>
      <x:c r="M106" s="12" t="str">
        <x:v>https://www.google.com/search?q=Hokersar+wetland+local+conservation+volunteers</x:v>
      </x:c>
      <x:c r="N106" s="12" t="str">
        <x:v>Tier 4 - Stakeholder prospect / verify</x:v>
      </x:c>
      <x:c r="O106" s="12" t="str">
        <x:v>Network expansion; community intelligence; public campaigns</x:v>
      </x:c>
      <x:c r="P106" s="12" t="str">
        <x:v>Low</x:v>
      </x:c>
      <x:c r="Q106" s="12" t="str">
        <x:v>Research queue - stakeholder cluster, not verified NGO</x:v>
      </x:c>
      <x:c r="R106" s="14" t="str">
        <x:v>2026-07-08</x:v>
      </x:c>
    </x:row>
    <x:row r="107">
      <x:c r="A107" s="12" t="n">
        <x:v>106</x:v>
      </x:c>
      <x:c r="B107" s="12" t="str">
        <x:v>Jammu &amp; Kashmir</x:v>
      </x:c>
      <x:c r="C107" s="12" t="str">
        <x:v>Ganderbal</x:v>
      </x:c>
      <x:c r="D107" s="12" t="str">
        <x:v>India</x:v>
      </x:c>
      <x:c r="E107" s="12" t="str">
        <x:v>Manasbal Lake conservation stakeholders</x:v>
      </x:c>
      <x:c r="F107" s="12" t="str">
        <x:v>Community/civic stakeholders</x:v>
      </x:c>
      <x:c r="G107" s="12" t="str">
        <x:v>Lake conservation / tourism pressure</x:v>
      </x:c>
      <x:c r="H107" s="12" t="str">
        <x:v>Stakeholder mapping / outreach</x:v>
      </x:c>
      <x:c r="I107" s="12" t="str">
        <x:v>Impact stakeholder cluster for lake health monitoring.</x:v>
      </x:c>
      <x:c r="J107" s="12" t="str"/>
      <x:c r="K107" s="12" t="str"/>
      <x:c r="L107" s="12" t="str"/>
      <x:c r="M107" s="12" t="str">
        <x:v>https://www.google.com/search?q=Manasbal+Lake+conservation+stakeholders</x:v>
      </x:c>
      <x:c r="N107" s="12" t="str">
        <x:v>Tier 4 - Stakeholder prospect / verify</x:v>
      </x:c>
      <x:c r="O107" s="12" t="str">
        <x:v>Network expansion; community intelligence; public campaigns</x:v>
      </x:c>
      <x:c r="P107" s="12" t="str">
        <x:v>Low</x:v>
      </x:c>
      <x:c r="Q107" s="12" t="str">
        <x:v>Research queue - stakeholder cluster, not verified NGO</x:v>
      </x:c>
      <x:c r="R107" s="14" t="str">
        <x:v>2026-07-08</x:v>
      </x:c>
    </x:row>
    <x:row r="108">
      <x:c r="A108" s="12" t="n">
        <x:v>107</x:v>
      </x:c>
      <x:c r="B108" s="12" t="str">
        <x:v>Jammu &amp; Kashmir</x:v>
      </x:c>
      <x:c r="C108" s="12" t="str">
        <x:v>Kulgam</x:v>
      </x:c>
      <x:c r="D108" s="12" t="str">
        <x:v>India</x:v>
      </x:c>
      <x:c r="E108" s="12" t="str">
        <x:v>Vishaw River / Kulgam environmental groups</x:v>
      </x:c>
      <x:c r="F108" s="12" t="str">
        <x:v>Civic/community prospect</x:v>
      </x:c>
      <x:c r="G108" s="12" t="str">
        <x:v>Rivers / waste / mining</x:v>
      </x:c>
      <x:c r="H108" s="12" t="str">
        <x:v>Stakeholder mapping / outreach</x:v>
      </x:c>
      <x:c r="I108" s="12" t="str">
        <x:v>Search target for river monitoring and solid waste action.</x:v>
      </x:c>
      <x:c r="J108" s="12" t="str"/>
      <x:c r="K108" s="12" t="str"/>
      <x:c r="L108" s="12" t="str"/>
      <x:c r="M108" s="12" t="str">
        <x:v>https://www.google.com/search?q=Vishaw+River+/+Kulgam+environmental+groups</x:v>
      </x:c>
      <x:c r="N108" s="12" t="str">
        <x:v>Tier 4 - Stakeholder prospect / verify</x:v>
      </x:c>
      <x:c r="O108" s="12" t="str">
        <x:v>Network expansion; community intelligence; public campaigns</x:v>
      </x:c>
      <x:c r="P108" s="12" t="str">
        <x:v>Low</x:v>
      </x:c>
      <x:c r="Q108" s="12" t="str">
        <x:v>Research queue - stakeholder cluster, not verified NGO</x:v>
      </x:c>
      <x:c r="R108" s="14" t="str">
        <x:v>2026-07-08</x:v>
      </x:c>
    </x:row>
    <x:row r="109">
      <x:c r="A109" s="12" t="n">
        <x:v>108</x:v>
      </x:c>
      <x:c r="B109" s="12" t="str">
        <x:v>Jammu &amp; Kashmir</x:v>
      </x:c>
      <x:c r="C109" s="12" t="str">
        <x:v>Anantnag/Pahalgam</x:v>
      </x:c>
      <x:c r="D109" s="12" t="str">
        <x:v>India</x:v>
      </x:c>
      <x:c r="E109" s="12" t="str">
        <x:v>Lidder Valley conservation stakeholders</x:v>
      </x:c>
      <x:c r="F109" s="12" t="str">
        <x:v>Community/tourism stakeholders</x:v>
      </x:c>
      <x:c r="G109" s="12" t="str">
        <x:v>Rivers / tourism / waste</x:v>
      </x:c>
      <x:c r="H109" s="12" t="str">
        <x:v>Stakeholder mapping / outreach</x:v>
      </x:c>
      <x:c r="I109" s="12" t="str">
        <x:v>Impact stakeholder cluster for tourism pressure and river health.</x:v>
      </x:c>
      <x:c r="J109" s="12" t="str"/>
      <x:c r="K109" s="12" t="str"/>
      <x:c r="L109" s="12" t="str"/>
      <x:c r="M109" s="12" t="str">
        <x:v>https://www.google.com/search?q=Lidder+Valley+conservation+stakeholders</x:v>
      </x:c>
      <x:c r="N109" s="12" t="str">
        <x:v>Tier 4 - Stakeholder prospect / verify</x:v>
      </x:c>
      <x:c r="O109" s="12" t="str">
        <x:v>Network expansion; community intelligence; public campaigns</x:v>
      </x:c>
      <x:c r="P109" s="12" t="str">
        <x:v>Low</x:v>
      </x:c>
      <x:c r="Q109" s="12" t="str">
        <x:v>Research queue - stakeholder cluster, not verified NGO</x:v>
      </x:c>
      <x:c r="R109" s="14" t="str">
        <x:v>2026-07-08</x:v>
      </x:c>
    </x:row>
    <x:row r="110">
      <x:c r="A110" s="12" t="n">
        <x:v>109</x:v>
      </x:c>
      <x:c r="B110" s="12" t="str">
        <x:v>Jammu &amp; Kashmir</x:v>
      </x:c>
      <x:c r="C110" s="12" t="str">
        <x:v>Ganderbal</x:v>
      </x:c>
      <x:c r="D110" s="12" t="str">
        <x:v>India</x:v>
      </x:c>
      <x:c r="E110" s="12" t="str">
        <x:v>Sindh Nallah conservation stakeholders</x:v>
      </x:c>
      <x:c r="F110" s="12" t="str">
        <x:v>Community/tourism stakeholders</x:v>
      </x:c>
      <x:c r="G110" s="12" t="str">
        <x:v>Rivers / tourism / waste</x:v>
      </x:c>
      <x:c r="H110" s="12" t="str">
        <x:v>Stakeholder mapping / outreach</x:v>
      </x:c>
      <x:c r="I110" s="12" t="str">
        <x:v>Impact stakeholder cluster for river and waste monitoring.</x:v>
      </x:c>
      <x:c r="J110" s="12" t="str"/>
      <x:c r="K110" s="12" t="str"/>
      <x:c r="L110" s="12" t="str"/>
      <x:c r="M110" s="12" t="str">
        <x:v>https://www.google.com/search?q=Sindh+Nallah+conservation+stakeholders</x:v>
      </x:c>
      <x:c r="N110" s="12" t="str">
        <x:v>Tier 4 - Stakeholder prospect / verify</x:v>
      </x:c>
      <x:c r="O110" s="12" t="str">
        <x:v>Network expansion; community intelligence; public campaigns</x:v>
      </x:c>
      <x:c r="P110" s="12" t="str">
        <x:v>Low</x:v>
      </x:c>
      <x:c r="Q110" s="12" t="str">
        <x:v>Research queue - stakeholder cluster, not verified NGO</x:v>
      </x:c>
      <x:c r="R110" s="14" t="str">
        <x:v>2026-07-08</x:v>
      </x:c>
    </x:row>
    <x:row r="111">
      <x:c r="A111" s="12" t="n">
        <x:v>110</x:v>
      </x:c>
      <x:c r="B111" s="12" t="str">
        <x:v>Gilgit-Baltistan</x:v>
      </x:c>
      <x:c r="C111" s="12" t="str">
        <x:v>Ghanche/Skardu</x:v>
      </x:c>
      <x:c r="D111" s="12" t="str">
        <x:v>Pakistan-administered</x:v>
      </x:c>
      <x:c r="E111" s="12" t="str">
        <x:v>Hushe Valley conservation committees</x:v>
      </x:c>
      <x:c r="F111" s="12" t="str">
        <x:v>Community conservation prospect</x:v>
      </x:c>
      <x:c r="G111" s="12" t="str">
        <x:v>Community conservation / tourism</x:v>
      </x:c>
      <x:c r="H111" s="12" t="str">
        <x:v>Requires field verification</x:v>
      </x:c>
      <x:c r="I111" s="12" t="str">
        <x:v>Candidate community stakeholder cluster for KEW regional mapping; verify legal status and contacts.</x:v>
      </x:c>
      <x:c r="J111" s="12" t="str"/>
      <x:c r="K111" s="12" t="str"/>
      <x:c r="L111" s="12" t="str"/>
      <x:c r="M111" s="12" t="str">
        <x:v>https://www.google.com/search?q=Hushe+Valley+conservation+committees</x:v>
      </x:c>
      <x:c r="N111" s="12" t="str">
        <x:v>Tier 4 - Search target / not verified</x:v>
      </x:c>
      <x:c r="O111" s="12" t="str">
        <x:v>Community intelligence; field network; risk mapping</x:v>
      </x:c>
      <x:c r="P111" s="12" t="str">
        <x:v>Low</x:v>
      </x:c>
      <x:c r="Q111" s="12" t="str">
        <x:v>Research queue - not verified as registered NGO</x:v>
      </x:c>
      <x:c r="R111" s="14" t="str">
        <x:v>2026-07-08</x:v>
      </x:c>
    </x:row>
    <x:row r="112">
      <x:c r="A112" s="12" t="n">
        <x:v>111</x:v>
      </x:c>
      <x:c r="B112" s="12" t="str">
        <x:v>Gilgit-Baltistan</x:v>
      </x:c>
      <x:c r="C112" s="12" t="str">
        <x:v>Hunza</x:v>
      </x:c>
      <x:c r="D112" s="12" t="str">
        <x:v>Pakistan-administered</x:v>
      </x:c>
      <x:c r="E112" s="12" t="str">
        <x:v>Khunjerab Village Organizations conservation network</x:v>
      </x:c>
      <x:c r="F112" s="12" t="str">
        <x:v>Community conservation prospect</x:v>
      </x:c>
      <x:c r="G112" s="12" t="str">
        <x:v>Community-managed protected areas</x:v>
      </x:c>
      <x:c r="H112" s="12" t="str">
        <x:v>Requires field verification</x:v>
      </x:c>
      <x:c r="I112" s="12" t="str">
        <x:v>Candidate community stakeholder cluster for KEW regional mapping; verify legal status and contacts.</x:v>
      </x:c>
      <x:c r="J112" s="12" t="str"/>
      <x:c r="K112" s="12" t="str"/>
      <x:c r="L112" s="12" t="str"/>
      <x:c r="M112" s="12" t="str">
        <x:v>https://www.google.com/search?q=Khunjerab+Village+Organizations+conservation+network</x:v>
      </x:c>
      <x:c r="N112" s="12" t="str">
        <x:v>Tier 4 - Search target / not verified</x:v>
      </x:c>
      <x:c r="O112" s="12" t="str">
        <x:v>Community intelligence; field network; risk mapping</x:v>
      </x:c>
      <x:c r="P112" s="12" t="str">
        <x:v>Low</x:v>
      </x:c>
      <x:c r="Q112" s="12" t="str">
        <x:v>Research queue - not verified as registered NGO</x:v>
      </x:c>
      <x:c r="R112" s="14" t="str">
        <x:v>2026-07-08</x:v>
      </x:c>
    </x:row>
    <x:row r="113">
      <x:c r="A113" s="12" t="n">
        <x:v>112</x:v>
      </x:c>
      <x:c r="B113" s="12" t="str">
        <x:v>Gilgit-Baltistan</x:v>
      </x:c>
      <x:c r="C113" s="12" t="str">
        <x:v>Hunza</x:v>
      </x:c>
      <x:c r="D113" s="12" t="str">
        <x:v>Pakistan-administered</x:v>
      </x:c>
      <x:c r="E113" s="12" t="str">
        <x:v>Shimshal Nature Trust / community conservation prospect</x:v>
      </x:c>
      <x:c r="F113" s="12" t="str">
        <x:v>Community conservation prospect</x:v>
      </x:c>
      <x:c r="G113" s="12" t="str">
        <x:v>Wildlife / pasture management</x:v>
      </x:c>
      <x:c r="H113" s="12" t="str">
        <x:v>Requires field verification</x:v>
      </x:c>
      <x:c r="I113" s="12" t="str">
        <x:v>Candidate community stakeholder cluster for KEW regional mapping; verify legal status and contacts.</x:v>
      </x:c>
      <x:c r="J113" s="12" t="str"/>
      <x:c r="K113" s="12" t="str"/>
      <x:c r="L113" s="12" t="str"/>
      <x:c r="M113" s="12" t="str">
        <x:v>https://www.google.com/search?q=Shimshal+Nature+Trust+/+community+conservation+prospect</x:v>
      </x:c>
      <x:c r="N113" s="12" t="str">
        <x:v>Tier 4 - Search target / not verified</x:v>
      </x:c>
      <x:c r="O113" s="12" t="str">
        <x:v>Community intelligence; field network; risk mapping</x:v>
      </x:c>
      <x:c r="P113" s="12" t="str">
        <x:v>Low</x:v>
      </x:c>
      <x:c r="Q113" s="12" t="str">
        <x:v>Research queue - not verified as registered NGO</x:v>
      </x:c>
      <x:c r="R113" s="14" t="str">
        <x:v>2026-07-08</x:v>
      </x:c>
    </x:row>
    <x:row r="114">
      <x:c r="A114" s="12" t="n">
        <x:v>113</x:v>
      </x:c>
      <x:c r="B114" s="12" t="str">
        <x:v>Gilgit-Baltistan</x:v>
      </x:c>
      <x:c r="C114" s="12" t="str">
        <x:v>Nagar</x:v>
      </x:c>
      <x:c r="D114" s="12" t="str">
        <x:v>Pakistan-administered</x:v>
      </x:c>
      <x:c r="E114" s="12" t="str">
        <x:v>Hoper Valley conservation stakeholders</x:v>
      </x:c>
      <x:c r="F114" s="12" t="str">
        <x:v>Community conservation prospect</x:v>
      </x:c>
      <x:c r="G114" s="12" t="str">
        <x:v>Glacier/tourism/community conservation</x:v>
      </x:c>
      <x:c r="H114" s="12" t="str">
        <x:v>Requires field verification</x:v>
      </x:c>
      <x:c r="I114" s="12" t="str">
        <x:v>Candidate community stakeholder cluster for KEW regional mapping; verify legal status and contacts.</x:v>
      </x:c>
      <x:c r="J114" s="12" t="str"/>
      <x:c r="K114" s="12" t="str"/>
      <x:c r="L114" s="12" t="str"/>
      <x:c r="M114" s="12" t="str">
        <x:v>https://www.google.com/search?q=Hoper+Valley+conservation+stakeholders</x:v>
      </x:c>
      <x:c r="N114" s="12" t="str">
        <x:v>Tier 4 - Search target / not verified</x:v>
      </x:c>
      <x:c r="O114" s="12" t="str">
        <x:v>Community intelligence; field network; risk mapping</x:v>
      </x:c>
      <x:c r="P114" s="12" t="str">
        <x:v>Low</x:v>
      </x:c>
      <x:c r="Q114" s="12" t="str">
        <x:v>Research queue - not verified as registered NGO</x:v>
      </x:c>
      <x:c r="R114" s="14" t="str">
        <x:v>2026-07-08</x:v>
      </x:c>
    </x:row>
    <x:row r="115">
      <x:c r="A115" s="12" t="n">
        <x:v>114</x:v>
      </x:c>
      <x:c r="B115" s="12" t="str">
        <x:v>Gilgit-Baltistan</x:v>
      </x:c>
      <x:c r="C115" s="12" t="str">
        <x:v>Skardu/Astore</x:v>
      </x:c>
      <x:c r="D115" s="12" t="str">
        <x:v>Pakistan-administered</x:v>
      </x:c>
      <x:c r="E115" s="12" t="str">
        <x:v>Deosai conservation stakeholders</x:v>
      </x:c>
      <x:c r="F115" s="12" t="str">
        <x:v>Community conservation prospect</x:v>
      </x:c>
      <x:c r="G115" s="12" t="str">
        <x:v>Protected area / brown bear</x:v>
      </x:c>
      <x:c r="H115" s="12" t="str">
        <x:v>Requires field verification</x:v>
      </x:c>
      <x:c r="I115" s="12" t="str">
        <x:v>Candidate community stakeholder cluster for KEW regional mapping; verify legal status and contacts.</x:v>
      </x:c>
      <x:c r="J115" s="12" t="str"/>
      <x:c r="K115" s="12" t="str"/>
      <x:c r="L115" s="12" t="str"/>
      <x:c r="M115" s="12" t="str">
        <x:v>https://www.google.com/search?q=Deosai+conservation+stakeholders</x:v>
      </x:c>
      <x:c r="N115" s="12" t="str">
        <x:v>Tier 4 - Search target / not verified</x:v>
      </x:c>
      <x:c r="O115" s="12" t="str">
        <x:v>Community intelligence; field network; risk mapping</x:v>
      </x:c>
      <x:c r="P115" s="12" t="str">
        <x:v>Low</x:v>
      </x:c>
      <x:c r="Q115" s="12" t="str">
        <x:v>Research queue - not verified as registered NGO</x:v>
      </x:c>
      <x:c r="R115" s="14" t="str">
        <x:v>2026-07-08</x:v>
      </x:c>
    </x:row>
    <x:row r="116">
      <x:c r="A116" s="12" t="n">
        <x:v>115</x:v>
      </x:c>
      <x:c r="B116" s="12" t="str">
        <x:v>Gilgit-Baltistan</x:v>
      </x:c>
      <x:c r="C116" s="12" t="str">
        <x:v>Astore</x:v>
      </x:c>
      <x:c r="D116" s="12" t="str">
        <x:v>Pakistan-administered</x:v>
      </x:c>
      <x:c r="E116" s="12" t="str">
        <x:v>Astore Markhor conservation community groups</x:v>
      </x:c>
      <x:c r="F116" s="12" t="str">
        <x:v>Community conservation prospect</x:v>
      </x:c>
      <x:c r="G116" s="12" t="str">
        <x:v>Wildlife / trophy hunting governance</x:v>
      </x:c>
      <x:c r="H116" s="12" t="str">
        <x:v>Requires field verification</x:v>
      </x:c>
      <x:c r="I116" s="12" t="str">
        <x:v>Candidate community stakeholder cluster for KEW regional mapping; verify legal status and contacts.</x:v>
      </x:c>
      <x:c r="J116" s="12" t="str"/>
      <x:c r="K116" s="12" t="str"/>
      <x:c r="L116" s="12" t="str"/>
      <x:c r="M116" s="12" t="str">
        <x:v>https://www.google.com/search?q=Astore+Markhor+conservation+community+groups</x:v>
      </x:c>
      <x:c r="N116" s="12" t="str">
        <x:v>Tier 4 - Search target / not verified</x:v>
      </x:c>
      <x:c r="O116" s="12" t="str">
        <x:v>Community intelligence; field network; risk mapping</x:v>
      </x:c>
      <x:c r="P116" s="12" t="str">
        <x:v>Low</x:v>
      </x:c>
      <x:c r="Q116" s="12" t="str">
        <x:v>Research queue - not verified as registered NGO</x:v>
      </x:c>
      <x:c r="R116" s="14" t="str">
        <x:v>2026-07-08</x:v>
      </x:c>
    </x:row>
    <x:row r="117">
      <x:c r="A117" s="12" t="n">
        <x:v>116</x:v>
      </x:c>
      <x:c r="B117" s="12" t="str">
        <x:v>Gilgit-Baltistan</x:v>
      </x:c>
      <x:c r="C117" s="12" t="str">
        <x:v>Ghizer</x:v>
      </x:c>
      <x:c r="D117" s="12" t="str">
        <x:v>Pakistan-administered</x:v>
      </x:c>
      <x:c r="E117" s="12" t="str">
        <x:v>Ghizer climate adaptation community organizations</x:v>
      </x:c>
      <x:c r="F117" s="12" t="str">
        <x:v>Community conservation prospect</x:v>
      </x:c>
      <x:c r="G117" s="12" t="str">
        <x:v>Water / agriculture / climate</x:v>
      </x:c>
      <x:c r="H117" s="12" t="str">
        <x:v>Requires field verification</x:v>
      </x:c>
      <x:c r="I117" s="12" t="str">
        <x:v>Candidate community stakeholder cluster for KEW regional mapping; verify legal status and contacts.</x:v>
      </x:c>
      <x:c r="J117" s="12" t="str"/>
      <x:c r="K117" s="12" t="str"/>
      <x:c r="L117" s="12" t="str"/>
      <x:c r="M117" s="12" t="str">
        <x:v>https://www.google.com/search?q=Ghizer+climate+adaptation+community+organizations</x:v>
      </x:c>
      <x:c r="N117" s="12" t="str">
        <x:v>Tier 4 - Search target / not verified</x:v>
      </x:c>
      <x:c r="O117" s="12" t="str">
        <x:v>Community intelligence; field network; risk mapping</x:v>
      </x:c>
      <x:c r="P117" s="12" t="str">
        <x:v>Low</x:v>
      </x:c>
      <x:c r="Q117" s="12" t="str">
        <x:v>Research queue - not verified as registered NGO</x:v>
      </x:c>
      <x:c r="R117" s="14" t="str">
        <x:v>2026-07-08</x:v>
      </x:c>
    </x:row>
    <x:row r="118">
      <x:c r="A118" s="12" t="n">
        <x:v>117</x:v>
      </x:c>
      <x:c r="B118" s="12" t="str">
        <x:v>Gilgit-Baltistan</x:v>
      </x:c>
      <x:c r="C118" s="12" t="str">
        <x:v>Diamer</x:v>
      </x:c>
      <x:c r="D118" s="12" t="str">
        <x:v>Pakistan-administered</x:v>
      </x:c>
      <x:c r="E118" s="12" t="str">
        <x:v>Diamer forest and watershed community groups</x:v>
      </x:c>
      <x:c r="F118" s="12" t="str">
        <x:v>Community conservation prospect</x:v>
      </x:c>
      <x:c r="G118" s="12" t="str">
        <x:v>Forests / watershed</x:v>
      </x:c>
      <x:c r="H118" s="12" t="str">
        <x:v>Requires field verification</x:v>
      </x:c>
      <x:c r="I118" s="12" t="str">
        <x:v>Candidate community stakeholder cluster for KEW regional mapping; verify legal status and contacts.</x:v>
      </x:c>
      <x:c r="J118" s="12" t="str"/>
      <x:c r="K118" s="12" t="str"/>
      <x:c r="L118" s="12" t="str"/>
      <x:c r="M118" s="12" t="str">
        <x:v>https://www.google.com/search?q=Diamer+forest+and+watershed+community+groups</x:v>
      </x:c>
      <x:c r="N118" s="12" t="str">
        <x:v>Tier 4 - Search target / not verified</x:v>
      </x:c>
      <x:c r="O118" s="12" t="str">
        <x:v>Community intelligence; field network; risk mapping</x:v>
      </x:c>
      <x:c r="P118" s="12" t="str">
        <x:v>Low</x:v>
      </x:c>
      <x:c r="Q118" s="12" t="str">
        <x:v>Research queue - not verified as registered NGO</x:v>
      </x:c>
      <x:c r="R118" s="14" t="str">
        <x:v>2026-07-08</x:v>
      </x:c>
    </x:row>
    <x:row r="119">
      <x:c r="A119" s="12" t="n">
        <x:v>118</x:v>
      </x:c>
      <x:c r="B119" s="12" t="str">
        <x:v>Azad Kashmir</x:v>
      </x:c>
      <x:c r="C119" s="12" t="str">
        <x:v>Neelum Valley</x:v>
      </x:c>
      <x:c r="D119" s="12" t="str">
        <x:v>Pakistan-administered</x:v>
      </x:c>
      <x:c r="E119" s="12" t="str">
        <x:v>Neelum Valley forest protection stakeholders</x:v>
      </x:c>
      <x:c r="F119" s="12" t="str">
        <x:v>Community conservation prospect</x:v>
      </x:c>
      <x:c r="G119" s="12" t="str">
        <x:v>Forests / rivers / tourism pressure</x:v>
      </x:c>
      <x:c r="H119" s="12" t="str">
        <x:v>Requires field verification</x:v>
      </x:c>
      <x:c r="I119" s="12" t="str">
        <x:v>Candidate community stakeholder cluster for KEW regional mapping; verify legal status and contacts.</x:v>
      </x:c>
      <x:c r="J119" s="12" t="str"/>
      <x:c r="K119" s="12" t="str"/>
      <x:c r="L119" s="12" t="str"/>
      <x:c r="M119" s="12" t="str">
        <x:v>https://www.google.com/search?q=Neelum+Valley+forest+protection+stakeholders</x:v>
      </x:c>
      <x:c r="N119" s="12" t="str">
        <x:v>Tier 4 - Search target / not verified</x:v>
      </x:c>
      <x:c r="O119" s="12" t="str">
        <x:v>Community intelligence; field network; risk mapping</x:v>
      </x:c>
      <x:c r="P119" s="12" t="str">
        <x:v>Low</x:v>
      </x:c>
      <x:c r="Q119" s="12" t="str">
        <x:v>Research queue - not verified as registered NGO</x:v>
      </x:c>
      <x:c r="R119" s="14" t="str">
        <x:v>2026-07-08</x:v>
      </x:c>
    </x:row>
    <x:row r="120">
      <x:c r="A120" s="12" t="n">
        <x:v>119</x:v>
      </x:c>
      <x:c r="B120" s="12" t="str">
        <x:v>Azad Kashmir</x:v>
      </x:c>
      <x:c r="C120" s="12" t="str">
        <x:v>Hattian Bala</x:v>
      </x:c>
      <x:c r="D120" s="12" t="str">
        <x:v>Pakistan-administered</x:v>
      </x:c>
      <x:c r="E120" s="12" t="str">
        <x:v>Leepa Valley environment and tourism stakeholders</x:v>
      </x:c>
      <x:c r="F120" s="12" t="str">
        <x:v>Community conservation prospect</x:v>
      </x:c>
      <x:c r="G120" s="12" t="str">
        <x:v>Forests / solid waste</x:v>
      </x:c>
      <x:c r="H120" s="12" t="str">
        <x:v>Requires field verification</x:v>
      </x:c>
      <x:c r="I120" s="12" t="str">
        <x:v>Candidate community stakeholder cluster for KEW regional mapping; verify legal status and contacts.</x:v>
      </x:c>
      <x:c r="J120" s="12" t="str"/>
      <x:c r="K120" s="12" t="str"/>
      <x:c r="L120" s="12" t="str"/>
      <x:c r="M120" s="12" t="str">
        <x:v>https://www.google.com/search?q=Leepa+Valley+environment+and+tourism+stakeholders</x:v>
      </x:c>
      <x:c r="N120" s="12" t="str">
        <x:v>Tier 4 - Search target / not verified</x:v>
      </x:c>
      <x:c r="O120" s="12" t="str">
        <x:v>Community intelligence; field network; risk mapping</x:v>
      </x:c>
      <x:c r="P120" s="12" t="str">
        <x:v>Low</x:v>
      </x:c>
      <x:c r="Q120" s="12" t="str">
        <x:v>Research queue - not verified as registered NGO</x:v>
      </x:c>
      <x:c r="R120" s="14" t="str">
        <x:v>2026-07-08</x:v>
      </x:c>
    </x:row>
    <x:row r="121">
      <x:c r="A121" s="12" t="n">
        <x:v>120</x:v>
      </x:c>
      <x:c r="B121" s="12" t="str">
        <x:v>Azad Kashmir</x:v>
      </x:c>
      <x:c r="C121" s="12" t="str">
        <x:v>Mirpur</x:v>
      </x:c>
      <x:c r="D121" s="12" t="str">
        <x:v>Pakistan-administered</x:v>
      </x:c>
      <x:c r="E121" s="12" t="str">
        <x:v>Mangla/Mirpur water quality stakeholders</x:v>
      </x:c>
      <x:c r="F121" s="12" t="str">
        <x:v>Community conservation prospect</x:v>
      </x:c>
      <x:c r="G121" s="12" t="str">
        <x:v>Water quality / reservoir ecology</x:v>
      </x:c>
      <x:c r="H121" s="12" t="str">
        <x:v>Requires field verification</x:v>
      </x:c>
      <x:c r="I121" s="12" t="str">
        <x:v>Candidate community stakeholder cluster for KEW regional mapping; verify legal status and contacts.</x:v>
      </x:c>
      <x:c r="J121" s="12" t="str"/>
      <x:c r="K121" s="12" t="str"/>
      <x:c r="L121" s="12" t="str"/>
      <x:c r="M121" s="12" t="str">
        <x:v>https://www.google.com/search?q=Mangla/Mirpur+water+quality+stakeholders</x:v>
      </x:c>
      <x:c r="N121" s="12" t="str">
        <x:v>Tier 4 - Search target / not verified</x:v>
      </x:c>
      <x:c r="O121" s="12" t="str">
        <x:v>Community intelligence; field network; risk mapping</x:v>
      </x:c>
      <x:c r="P121" s="12" t="str">
        <x:v>Low</x:v>
      </x:c>
      <x:c r="Q121" s="12" t="str">
        <x:v>Research queue - not verified as registered NGO</x:v>
      </x:c>
      <x:c r="R121" s="14" t="str">
        <x:v>2026-07-08</x:v>
      </x:c>
    </x:row>
    <x:row r="122">
      <x:c r="A122" s="12" t="n">
        <x:v>121</x:v>
      </x:c>
      <x:c r="B122" s="12" t="str">
        <x:v>Azad Kashmir</x:v>
      </x:c>
      <x:c r="C122" s="12" t="str">
        <x:v>Rawalakot/Poonch</x:v>
      </x:c>
      <x:c r="D122" s="12" t="str">
        <x:v>Pakistan-administered</x:v>
      </x:c>
      <x:c r="E122" s="12" t="str">
        <x:v>Rawalakot Poonch climate and solid waste groups</x:v>
      </x:c>
      <x:c r="F122" s="12" t="str">
        <x:v>Community conservation prospect</x:v>
      </x:c>
      <x:c r="G122" s="12" t="str">
        <x:v>Urban ecology / waste</x:v>
      </x:c>
      <x:c r="H122" s="12" t="str">
        <x:v>Requires field verification</x:v>
      </x:c>
      <x:c r="I122" s="12" t="str">
        <x:v>Candidate community stakeholder cluster for KEW regional mapping; verify legal status and contacts.</x:v>
      </x:c>
      <x:c r="J122" s="12" t="str"/>
      <x:c r="K122" s="12" t="str"/>
      <x:c r="L122" s="12" t="str"/>
      <x:c r="M122" s="12" t="str">
        <x:v>https://www.google.com/search?q=Rawalakot+Poonch+climate+and+solid+waste+groups</x:v>
      </x:c>
      <x:c r="N122" s="12" t="str">
        <x:v>Tier 4 - Search target / not verified</x:v>
      </x:c>
      <x:c r="O122" s="12" t="str">
        <x:v>Community intelligence; field network; risk mapping</x:v>
      </x:c>
      <x:c r="P122" s="12" t="str">
        <x:v>Low</x:v>
      </x:c>
      <x:c r="Q122" s="12" t="str">
        <x:v>Research queue - not verified as registered NGO</x:v>
      </x:c>
      <x:c r="R122" s="14" t="str">
        <x:v>2026-07-08</x:v>
      </x:c>
    </x:row>
    <x:row r="123">
      <x:c r="A123" s="12" t="n">
        <x:v>122</x:v>
      </x:c>
      <x:c r="B123" s="12" t="str">
        <x:v>Azad Kashmir</x:v>
      </x:c>
      <x:c r="C123" s="12" t="str">
        <x:v>Kotli</x:v>
      </x:c>
      <x:c r="D123" s="12" t="str">
        <x:v>Pakistan-administered</x:v>
      </x:c>
      <x:c r="E123" s="12" t="str">
        <x:v>Kotli watershed and forest protection groups</x:v>
      </x:c>
      <x:c r="F123" s="12" t="str">
        <x:v>Community conservation prospect</x:v>
      </x:c>
      <x:c r="G123" s="12" t="str">
        <x:v>Watershed / forest</x:v>
      </x:c>
      <x:c r="H123" s="12" t="str">
        <x:v>Requires field verification</x:v>
      </x:c>
      <x:c r="I123" s="12" t="str">
        <x:v>Candidate community stakeholder cluster for KEW regional mapping; verify legal status and contacts.</x:v>
      </x:c>
      <x:c r="J123" s="12" t="str"/>
      <x:c r="K123" s="12" t="str"/>
      <x:c r="L123" s="12" t="str"/>
      <x:c r="M123" s="12" t="str">
        <x:v>https://www.google.com/search?q=Kotli+watershed+and+forest+protection+groups</x:v>
      </x:c>
      <x:c r="N123" s="12" t="str">
        <x:v>Tier 4 - Search target / not verified</x:v>
      </x:c>
      <x:c r="O123" s="12" t="str">
        <x:v>Community intelligence; field network; risk mapping</x:v>
      </x:c>
      <x:c r="P123" s="12" t="str">
        <x:v>Low</x:v>
      </x:c>
      <x:c r="Q123" s="12" t="str">
        <x:v>Research queue - not verified as registered NGO</x:v>
      </x:c>
      <x:c r="R123" s="14" t="str">
        <x:v>2026-07-08</x:v>
      </x:c>
    </x:row>
    <x:row r="124">
      <x:c r="A124" s="12" t="n">
        <x:v>123</x:v>
      </x:c>
      <x:c r="B124" s="12" t="str">
        <x:v>Azad Kashmir</x:v>
      </x:c>
      <x:c r="C124" s="12" t="str">
        <x:v>Bagh</x:v>
      </x:c>
      <x:c r="D124" s="12" t="str">
        <x:v>Pakistan-administered</x:v>
      </x:c>
      <x:c r="E124" s="12" t="str">
        <x:v>Bagh landslide and DRR community networks</x:v>
      </x:c>
      <x:c r="F124" s="12" t="str">
        <x:v>Community conservation prospect</x:v>
      </x:c>
      <x:c r="G124" s="12" t="str">
        <x:v>DRR / slope stability</x:v>
      </x:c>
      <x:c r="H124" s="12" t="str">
        <x:v>Requires field verification</x:v>
      </x:c>
      <x:c r="I124" s="12" t="str">
        <x:v>Candidate community stakeholder cluster for KEW regional mapping; verify legal status and contacts.</x:v>
      </x:c>
      <x:c r="J124" s="12" t="str"/>
      <x:c r="K124" s="12" t="str"/>
      <x:c r="L124" s="12" t="str"/>
      <x:c r="M124" s="12" t="str">
        <x:v>https://www.google.com/search?q=Bagh+landslide+and+DRR+community+networks</x:v>
      </x:c>
      <x:c r="N124" s="12" t="str">
        <x:v>Tier 4 - Search target / not verified</x:v>
      </x:c>
      <x:c r="O124" s="12" t="str">
        <x:v>Community intelligence; field network; risk mapping</x:v>
      </x:c>
      <x:c r="P124" s="12" t="str">
        <x:v>Low</x:v>
      </x:c>
      <x:c r="Q124" s="12" t="str">
        <x:v>Research queue - not verified as registered NGO</x:v>
      </x:c>
      <x:c r="R124" s="14" t="str">
        <x:v>2026-07-08</x:v>
      </x:c>
    </x:row>
  </x:sheetData>
  <x:pageMargins left="0.7" right="0.7" top="0.75" bottom="0.75" header="0.3" footer="0.3"/>
  <x:tableParts count="1">
    <x:tablePart xmlns:r="http://schemas.openxmlformats.org/officeDocument/2006/relationships" r:id="R6d91344640994b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>
      <x:c r="A1" s="26" t="str">
        <x:v>Environmental NGO Impact Registry - Western Himalaya / Kashmir Region</x:v>
      </x:c>
      <x:c r="B1" s="12"/>
      <x:c r="C1" s="12"/>
    </x:row>
    <x:row r="2">
      <x:c r="A2" s="12"/>
      <x:c r="B2" s="12"/>
      <x:c r="C2" s="12"/>
    </x:row>
    <x:row r="3">
      <x:c r="A3" s="27" t="str">
        <x:v>Metric</x:v>
      </x:c>
      <x:c r="B3" s="27" t="str">
        <x:v>Value</x:v>
      </x:c>
      <x:c r="C3" s="27" t="str">
        <x:v>Notes</x:v>
      </x:c>
    </x:row>
    <x:row r="4">
      <x:c r="A4" s="12" t="str">
        <x:v>Total records</x:v>
      </x:c>
      <x:c r="B4" s="12" t="n">
        <x:f>COUNTA(Registry!E2:E124)</x:f>
        <x:v>123</x:v>
      </x:c>
      <x:c r="C4" s="12" t="str">
        <x:v>Includes verified organizations, directory listings, and research targets.</x:v>
      </x:c>
    </x:row>
    <x:row r="5">
      <x:c r="A5" s="12" t="str">
        <x:v>High priority outreach</x:v>
      </x:c>
      <x:c r="B5" s="12" t="n">
        <x:f>COUNTIF(Registry!P2:P124,"High")</x:f>
        <x:v>19</x:v>
      </x:c>
      <x:c r="C5" s="12" t="str">
        <x:v>Likely first wave for KEW partnership outreach.</x:v>
      </x:c>
    </x:row>
    <x:row r="6">
      <x:c r="A6" s="12" t="str">
        <x:v>Medium priority outreach</x:v>
      </x:c>
      <x:c r="B6" s="12" t="n">
        <x:f>COUNTIF(Registry!P2:P124,"Medium")</x:f>
        <x:v>56</x:v>
      </x:c>
      <x:c r="C6" s="12" t="str"/>
    </x:row>
    <x:row r="7">
      <x:c r="A7" s="12" t="str">
        <x:v>Low priority / research queue</x:v>
      </x:c>
      <x:c r="B7" s="12" t="n">
        <x:f>COUNTIF(Registry!P2:P124,"Low")</x:f>
        <x:v>48</x:v>
      </x:c>
      <x:c r="C7" s="12" t="str"/>
    </x:row>
    <x:row r="8">
      <x:c r="A8" s="12" t="str">
        <x:v>Verified / official profiles</x:v>
      </x:c>
      <x:c r="B8" s="12" t="n">
        <x:f>COUNTIF(Registry!N2:N124,"Tier 1 - Official dataset preview")+COUNTIF(Registry!N2:N124,"Tier 1 - Government-listed participant")+COUNTIF(Registry!N2:N124,"Tier 1 - Official profile + contact")+COUNTIF(Registry!N2:N124,"Tier 1 - UNDP case study")+COUNTIF(Registry!N2:N124,"Tier 1 - Official organizational profile")</x:f>
        <x:v>31</x:v>
      </x:c>
      <x:c r="C8" s="12" t="str">
        <x:v>Official government/dataset/profile level.</x:v>
      </x:c>
    </x:row>
    <x:row r="9">
      <x:c r="A9" s="12" t="str">
        <x:v>Directory/public listing</x:v>
      </x:c>
      <x:c r="B9" s="12" t="n">
        <x:f>COUNTIF(Registry!N2:N124,"Tier 2 - Directory / public listing")+COUNTIF(Registry!N2:N124,"Tier 2 - Public social profile")+COUNTIF(Registry!N2:N124,"Tier 2 - Public profile / web source")+COUNTIF(Registry!N2:N124,"Tier 2 - Report / public source")+COUNTIF(Registry!N2:N124,"Tier 2 - Public project page")+COUNTIF(Registry!N2:N124,"Tier 2 - Public profile")+COUNTIF(Registry!N2:N124,"Tier 2 - Case article")+COUNTIF(Registry!N2:N124,"Tier 2 - Govt program profile")+COUNTIF(Registry!N2:N124,"Tier 2 - Social/public source")</x:f>
        <x:v>38</x:v>
      </x:c>
      <x:c r="C9" s="12" t="str">
        <x:v>Public directory, official listing, or public profile.</x:v>
      </x:c>
    </x:row>
    <x:row r="10">
      <x:c r="A10" s="12" t="str">
        <x:v>Needs verification</x:v>
      </x:c>
      <x:c r="B10" s="12" t="n">
        <x:f>COUNTIF(Registry!N2:N124,"Tier 3 - Needs verification")+COUNTIF(Registry!N2:N124,"Tier 4 - Search target / not verified")+COUNTIF(Registry!N2:N124,"Tier 4 - Stakeholder prospect / verify")+COUNTIF(Registry!N2:N124,"Tier 4 - CSR prospect")</x:f>
        <x:v>49</x:v>
      </x:c>
      <x:c r="C10" s="12" t="str">
        <x:v>Do not mass outreach until verified.</x:v>
      </x:c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4" t="str">
        <x:v>Region</x:v>
      </x:c>
      <x:c r="B13" s="4" t="str">
        <x:v>Records</x:v>
      </x:c>
      <x:c r="C13" s="12"/>
    </x:row>
    <x:row r="14">
      <x:c r="A14" s="12" t="str">
        <x:v>Azad Kashmir</x:v>
      </x:c>
      <x:c r="B14" s="12" t="n">
        <x:f>COUNTIF(Registry!B2:B124,"Azad Kashmir")</x:f>
        <x:v>19</x:v>
      </x:c>
      <x:c r="C14" s="12"/>
    </x:row>
    <x:row r="15">
      <x:c r="A15" s="12" t="str">
        <x:v>Gilgit-Baltistan</x:v>
      </x:c>
      <x:c r="B15" s="12" t="n">
        <x:f>COUNTIF(Registry!B2:B124,"Gilgit-Baltistan")</x:f>
        <x:v>22</x:v>
      </x:c>
      <x:c r="C15" s="12"/>
    </x:row>
    <x:row r="16">
      <x:c r="A16" s="12" t="str">
        <x:v>Jammu &amp; Kashmir</x:v>
      </x:c>
      <x:c r="B16" s="12" t="n">
        <x:f>COUNTIF(Registry!B2:B124,"Jammu &amp; Kashmir")</x:f>
        <x:v>53</x:v>
      </x:c>
      <x:c r="C16" s="12"/>
    </x:row>
    <x:row r="17">
      <x:c r="A17" s="12" t="str">
        <x:v>Ladakh</x:v>
      </x:c>
      <x:c r="B17" s="12" t="n">
        <x:f>COUNTIF(Registry!B2:B124,"Ladakh")</x:f>
        <x:v>19</x:v>
      </x:c>
      <x:c r="C17" s="12"/>
    </x:row>
    <x:row r="18">
      <x:c r="A18" s="12" t="str">
        <x:v>Regional / International</x:v>
      </x:c>
      <x:c r="B18" s="12" t="n">
        <x:f>COUNTIF(Registry!B2:B124,"Regional / International")</x:f>
        <x:v>10</x:v>
      </x:c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4" t="str">
        <x:v>Field</x:v>
      </x:c>
      <x:c r="B1" s="34" t="str">
        <x:v>Description / Use</x:v>
      </x:c>
    </x:row>
    <x:row r="2">
      <x:c r="A2" t="str">
        <x:v>Verification Tier 1</x:v>
      </x:c>
      <x:c r="B2" t="str">
        <x:v>Official government/data source, official organization profile, or direct contact-bearing institutional source.</x:v>
      </x:c>
    </x:row>
    <x:row r="3">
      <x:c r="A3" t="str">
        <x:v>Verification Tier 2</x:v>
      </x:c>
      <x:c r="B3" t="str">
        <x:v>Public directory, credible media/report, official meeting participant list, NGO profile page or public social profile.</x:v>
      </x:c>
    </x:row>
    <x:row r="4">
      <x:c r="A4" t="str">
        <x:v>Verification Tier 3</x:v>
      </x:c>
      <x:c r="B4" t="str">
        <x:v>Known or plausible organization requiring confirmation of current activity/contact.</x:v>
      </x:c>
    </x:row>
    <x:row r="5">
      <x:c r="A5" t="str">
        <x:v>Verification Tier 4</x:v>
      </x:c>
      <x:c r="B5" t="str">
        <x:v>Search target, stakeholder cluster, or unverified prospect. Not suitable for direct claim until validated.</x:v>
      </x:c>
    </x:row>
    <x:row r="6">
      <x:c r="A6" t="str">
        <x:v>KEW Suggested Impact Score</x:v>
      </x:c>
      <x:c r="B6" t="str">
        <x:v>Composite of scientific capacity, field presence, transparency, domain fit, policy influence, media visibility, community reach and partnership readiness.</x:v>
      </x:c>
    </x:row>
    <x:row r="7">
      <x:c r="A7" t="str">
        <x:v>Priority High</x:v>
      </x:c>
      <x:c r="B7" t="str">
        <x:v>First wave outreach: strong domain relevance and credible public profile.</x:v>
      </x:c>
    </x:row>
    <x:row r="8">
      <x:c r="A8" t="str">
        <x:v>Priority Medium</x:v>
      </x:c>
      <x:c r="B8" t="str">
        <x:v>Second wave: credible but needs contact/impact verification.</x:v>
      </x:c>
    </x:row>
    <x:row r="9">
      <x:c r="A9" t="str">
        <x:v>Priority Low</x:v>
      </x:c>
      <x:c r="B9" t="str">
        <x:v>Research queue or stakeholder cluster; verify before contacting.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70" hidden="0" customWidth="1"/>
  </x:cols>
  <x:sheetData>
    <x:row r="1">
      <x:c r="A1" s="4" t="str">
        <x:v>Source</x:v>
      </x:c>
      <x:c r="B1" s="4" t="str">
        <x:v>URL</x:v>
      </x:c>
      <x:c r="C1" s="4" t="str">
        <x:v>What it supports</x:v>
      </x:c>
    </x:row>
    <x:row r="2">
      <x:c r="A2" t="str">
        <x:v>Dataful / NGO Darpan J&amp;K dataset</x:v>
      </x:c>
      <x:c r="B2" t="str">
        <x:v>https://dataful.in/datasets/18956/</x:v>
      </x:c>
      <x:c r="C2" t="str">
        <x:v>Official DARPAN-derived metadata; page states 4,087 rows, 17 columns, updated May 2026.</x:v>
      </x:c>
    </x:row>
    <x:row r="3">
      <x:c r="A3" t="str">
        <x:v>NGO Darpan</x:v>
      </x:c>
      <x:c r="B3" t="str">
        <x:v>https://ngodarpan.gov.in</x:v>
      </x:c>
      <x:c r="C3" t="str">
        <x:v>Primary government NGO directory for India-side entities.</x:v>
      </x:c>
    </x:row>
    <x:row r="4">
      <x:c r="A4" t="str">
        <x:v>NGOBase J&amp;K Environment Directory</x:v>
      </x:c>
      <x:c r="B4" t="str">
        <x:v>https://ngobase.org/stwa/IN.JK/ENC/environment-and-climate-ngos-charities-jammu-and-kashmir</x:v>
      </x:c>
      <x:c r="C4" t="str">
        <x:v>User-supplied charity directory excerpt for J&amp;K environment/climate NGOs.</x:v>
      </x:c>
    </x:row>
    <x:row r="5">
      <x:c r="A5" t="str">
        <x:v>NGOBase J&amp;K Animals Directory</x:v>
      </x:c>
      <x:c r="B5" t="str">
        <x:v>https://ngobase.org/stwa/IN.JK/ANM/animals-ngos-charities-jammu-and-kashmir</x:v>
      </x:c>
      <x:c r="C5" t="str">
        <x:v>User-supplied charity directory excerpt for J&amp;K animal welfare NGOs.</x:v>
      </x:c>
    </x:row>
    <x:row r="6">
      <x:c r="A6" t="str">
        <x:v>Ladakh government conservation NGO meeting</x:v>
      </x:c>
      <x:c r="B6" t="str">
        <x:v>https://ladakh.gov.in/chief-secretary-chairs-meeting-with-ngos-on-forests-wildlife-and-environmental-conservation-in-ladakh/</x:v>
      </x:c>
      <x:c r="C6" t="str">
        <x:v>Official list of NGOs participating in 2026 forest/wildlife/environment meeting.</x:v>
      </x:c>
    </x:row>
    <x:row r="7">
      <x:c r="A7" t="str">
        <x:v>FAO Mountain Partnership LEDeG profile</x:v>
      </x:c>
      <x:c r="B7" t="str">
        <x:v>https://www.fao.org/mountain-partnership/members/detail/ladakh-ecological-development-group/en</x:v>
      </x:c>
      <x:c r="C7" t="str">
        <x:v>LEDeG mission, address, email and phone.</x:v>
      </x:c>
    </x:row>
    <x:row r="8">
      <x:c r="A8" t="str">
        <x:v>BWCDO UNDP Equator Initiative case study</x:v>
      </x:c>
      <x:c r="B8" t="str">
        <x:v>https://www.equatorinitiative.org/wp-content/uploads/2019/02/BWCDO-Pakistan.pdf</x:v>
      </x:c>
      <x:c r="C8" t="str">
        <x:v>BWCDO history, impact, villages, beneficiaries and conservation model.</x:v>
      </x:c>
    </x:row>
    <x:row r="9">
      <x:c r="A9" t="str">
        <x:v>Conservation Frontlines GLAD/Ghulkin article</x:v>
      </x:c>
      <x:c r="B9" t="str">
        <x:v>https://conservationfrontlines.org/2022/12/community-based-conservation-in-pakistan-here-sustainability-means-if-it-pays-it-stays/</x:v>
      </x:c>
      <x:c r="C9" t="str">
        <x:v>Ghulkin Nature Conservation/GLAD community conservation model.</x:v>
      </x:c>
    </x:row>
    <x:row r="10">
      <x:c r="A10" t="str">
        <x:v>Islamic Relief Pakistan AJK climate report</x:v>
      </x:c>
      <x:c r="B10" t="str">
        <x:v>https://islamic-relief.org.pk/wp-content/uploads/2023/12/Final-Report-Rev-11-30-23-reduced-size.pdf</x:v>
      </x:c>
      <x:c r="C10" t="str">
        <x:v>AJK climate impacts and environmental degradation context.</x:v>
      </x:c>
    </x:row>
    <x:row r="11">
      <x:c r="A11" t="str">
        <x:v>Kashmir Welfare Foundation projects</x:v>
      </x:c>
      <x:c r="B11" t="str">
        <x:v>https://kashmirwelfare.org.uk/resources/our-projects/</x:v>
      </x:c>
      <x:c r="C11" t="str">
        <x:v>KWF humanitarian/environment/community project profile.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80" hidden="0" customWidth="1"/>
  </x:cols>
  <x:sheetData>
    <x:row r="1">
      <x:c r="A1" s="34" t="str">
        <x:v>Phase</x:v>
      </x:c>
      <x:c r="B1" s="34" t="str">
        <x:v>Action</x:v>
      </x:c>
      <x:c r="C1" s="34" t="str">
        <x:v>Expected Output</x:v>
      </x:c>
    </x:row>
    <x:row r="2">
      <x:c r="A2" t="str">
        <x:v>1. Official extraction</x:v>
      </x:c>
      <x:c r="B2" t="str">
        <x:v>Download/filter DARPAN J&amp;K and Ladakh datasets for sectors: Environment &amp; Forests, Animal Welfare, Water Resources, Disaster Management, Drinking Water, Rural Development, Science &amp; Technology.</x:v>
      </x:c>
      <x:c r="C2" t="str">
        <x:v>Clean India-side registry with thousands of official rows and emails where public.</x:v>
      </x:c>
    </x:row>
    <x:row r="3">
      <x:c r="A3" t="str">
        <x:v>2. Directory verification</x:v>
      </x:c>
      <x:c r="B3" t="str">
        <x:v>Scrape/verify NGOBase pages, official websites, Facebook pages, Instagram pages and local directories for J&amp;K/AJK/GB.</x:v>
      </x:c>
      <x:c r="C3" t="str">
        <x:v>Contact enrichment and duplicate cleanup.</x:v>
      </x:c>
    </x:row>
    <x:row r="4">
      <x:c r="A4" t="str">
        <x:v>3. Impact coding</x:v>
      </x:c>
      <x:c r="B4" t="str">
        <x:v>Tag every organization by domain, geography, evidence of actual projects and KEW KPI fit.</x:v>
      </x:c>
      <x:c r="C4" t="str">
        <x:v>Impact score and outreach priority.</x:v>
      </x:c>
    </x:row>
    <x:row r="5">
      <x:c r="A5" t="str">
        <x:v>4. Cross-border expansion</x:v>
      </x:c>
      <x:c r="B5" t="str">
        <x:v>Use IUCN, UNDP, GEF, AKDN, WWF, Snow Leopard Trust, FAO and ICIMOD sources for AJK/GB/HKH partners.</x:v>
      </x:c>
      <x:c r="C5" t="str">
        <x:v>Regional conservation and climate stakeholder layer.</x:v>
      </x:c>
    </x:row>
    <x:row r="6">
      <x:c r="A6" t="str">
        <x:v>5. Human verification</x:v>
      </x:c>
      <x:c r="B6" t="str">
        <x:v>Phone/email verification before mass outreach; remove inactive/unrelated organizations.</x:v>
      </x:c>
      <x:c r="C6" t="str">
        <x:v>Validated outreach database.</x:v>
      </x:c>
    </x:row>
  </x:sheetData>
  <x:pageMargins left="0.7" right="0.7" top="0.75" bottom="0.75" header="0.3" footer="0.3"/>
</x:worksheet>
</file>