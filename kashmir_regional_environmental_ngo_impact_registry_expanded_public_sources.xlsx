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1f9329a4b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39558c3f3043cd"/>
    <x:sheet xmlns:r="http://schemas.openxmlformats.org/officeDocument/2006/relationships" name="NGO Impact Registry" sheetId="2" r:id="R8c77224b1196468d"/>
    <x:sheet xmlns:r="http://schemas.openxmlformats.org/officeDocument/2006/relationships" name="Taxonomy" sheetId="3" r:id="R6f56c810ea60437e"/>
    <x:sheet xmlns:r="http://schemas.openxmlformats.org/officeDocument/2006/relationships" name="Source Notes" sheetId="4" r:id="R92aa34433bf6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34E4A"/>
      </x:patternFill>
    </x:fill>
    <x:fill>
      <x:patternFill patternType="solid">
        <x:fgColor rgb="FF14532D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46a913d934fd9" /><Relationship Type="http://schemas.openxmlformats.org/officeDocument/2006/relationships/theme" Target="/xl/theme/theme1.xml" Id="Rbd00a176ca314b51" /><Relationship Type="http://schemas.openxmlformats.org/officeDocument/2006/relationships/sharedStrings" Target="/xl/sharedStrings.xml" Id="R1e3fbd1bc33e4c7b" /><Relationship Type="http://schemas.openxmlformats.org/officeDocument/2006/relationships/worksheet" Target="/xl/worksheets/sheet1.xml" Id="R7639558c3f3043cd" /><Relationship Type="http://schemas.openxmlformats.org/officeDocument/2006/relationships/worksheet" Target="/xl/worksheets/sheet2.xml" Id="R8c77224b1196468d" /><Relationship Type="http://schemas.openxmlformats.org/officeDocument/2006/relationships/worksheet" Target="/xl/worksheets/sheet3.xml" Id="R6f56c810ea60437e" /><Relationship Type="http://schemas.openxmlformats.org/officeDocument/2006/relationships/worksheet" Target="/xl/worksheets/sheet4.xml" Id="R92aa34433bf64f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558f78bd0b4b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Registry Rows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'Summary'!$A$10:$A$15</c:f>
              <c:strCache>
                <c:ptCount val="0"/>
              </c:strCache>
            </c:strRef>
          </c:cat>
          <c:val>
            <c:numRef>
              <c:f>'Summary'!$B$10:$B$15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558f78bd0b4b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GOImpactRegistry" displayName="NGOImpactRegistry" ref="A1:O140" headerRowCount="1">
  <x:tableColumns count="15">
    <x:tableColumn id="1" name="ID"/>
    <x:tableColumn id="2" name="Region"/>
    <x:tableColumn id="3" name="Subregion / District"/>
    <x:tableColumn id="4" name="Organization / Initiative"/>
    <x:tableColumn id="5" name="Stakeholder Type"/>
    <x:tableColumn id="6" name="Environmental Domain"/>
    <x:tableColumn id="7" name="Known Work / Public Impact Signal"/>
    <x:tableColumn id="8" name="Public Email"/>
    <x:tableColumn id="9" name="Public Phone / WhatsApp-style"/>
    <x:tableColumn id="10" name="Website / Social"/>
    <x:tableColumn id="11" name="Source URL"/>
    <x:tableColumn id="12" name="Verification Level"/>
    <x:tableColumn id="13" name="Suggested KEW KPI Fit"/>
    <x:tableColumn id="14" name="Priority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4477124cce4d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74f2de992c49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12" t="str">
        <x:v>NGO Impact Registry Expansion</x:v>
      </x:c>
      <x:c r="B1" s="12" t="str">
        <x:v>Kashmir, Jammu, Ladakh, Azad Kashmir, Gilgit-Baltistan</x:v>
      </x:c>
    </x:row>
    <x:row r="2">
      <x:c r="A2" s="13" t="str">
        <x:v>Generated</x:v>
      </x:c>
      <x:c r="B2" s="14" t="str">
        <x:v>2026-07-08 07:19</x:v>
      </x:c>
    </x:row>
    <x:row r="3">
      <x:c r="A3" s="13" t="str">
        <x:v>Total rows</x:v>
      </x:c>
      <x:c r="B3" s="14" t="n">
        <x:v>139</x:v>
      </x:c>
    </x:row>
    <x:row r="4">
      <x:c r="A4" s="13" t="str">
        <x:v>Scope</x:v>
      </x:c>
      <x:c r="B4" s="14" t="str">
        <x:v>Public-source environmental NGOs, civil-society groups, programmes, community institutions, and key governance/research stakeholders.</x:v>
      </x:c>
    </x:row>
    <x:row r="5">
      <x:c r="A5" s="13" t="str">
        <x:v>Privacy rule</x:v>
      </x:c>
      <x:c r="B5" s="14" t="str">
        <x:v>Only public/official emails and phones are included; missing/private contacts are marked Not found.</x:v>
      </x:c>
    </x:row>
    <x:row r="6">
      <x:c r="A6" s="13" t="str">
        <x:v>Use case</x:v>
      </x:c>
      <x:c r="B6" s="14" t="str">
        <x:v>KEW stakeholder mapping, environmental seminar outreach, NGO impact scoring, partnership pipeline, and field verification.</x:v>
      </x:c>
    </x:row>
    <x:row r="9">
      <x:c r="A9" s="19" t="str">
        <x:v>Region</x:v>
      </x:c>
      <x:c r="B9" s="19" t="str">
        <x:v>Count</x:v>
      </x:c>
      <x:c r="C9" s="19" t="str">
        <x:v>High Priority</x:v>
      </x:c>
      <x:c r="D9" s="19" t="str">
        <x:v>High Verification</x:v>
      </x:c>
    </x:row>
    <x:row r="10">
      <x:c r="A10" s="22" t="str">
        <x:v>Azad Kashmir</x:v>
      </x:c>
      <x:c r="B10" s="23" t="n">
        <x:f>COUNTIF('NGO Impact Registry'!B:B,A10)</x:f>
        <x:v>16</x:v>
      </x:c>
      <x:c r="C10" s="23" t="n">
        <x:f>COUNTIFS('NGO Impact Registry'!B:B,A10,'NGO Impact Registry'!N:N,"High")</x:f>
        <x:v>1</x:v>
      </x:c>
      <x:c r="D10" s="24" t="n">
        <x:f>COUNTIFS('NGO Impact Registry'!B:B,A10,'NGO Impact Registry'!L:L,"Official*")+COUNTIFS('NGO Impact Registry'!B:B,A10,'NGO Impact Registry'!L:L,"Public*")</x:f>
        <x:v>0</x:v>
      </x:c>
    </x:row>
    <x:row r="11">
      <x:c r="A11" s="25" t="str">
        <x:v>Cross-border / Regional</x:v>
      </x:c>
      <x:c r="B11" s="26" t="n">
        <x:f>COUNTIF('NGO Impact Registry'!B:B,A11)</x:f>
        <x:v>14</x:v>
      </x:c>
      <x:c r="C11" s="26" t="n">
        <x:f>COUNTIFS('NGO Impact Registry'!B:B,A11,'NGO Impact Registry'!N:N,"High")</x:f>
        <x:v>1</x:v>
      </x:c>
      <x:c r="D11" s="27" t="n">
        <x:f>COUNTIFS('NGO Impact Registry'!B:B,A11,'NGO Impact Registry'!L:L,"Official*")+COUNTIFS('NGO Impact Registry'!B:B,A11,'NGO Impact Registry'!L:L,"Public*")</x:f>
        <x:v>0</x:v>
      </x:c>
    </x:row>
    <x:row r="12">
      <x:c r="A12" s="25" t="str">
        <x:v>Gilgit-Baltistan</x:v>
      </x:c>
      <x:c r="B12" s="26" t="n">
        <x:f>COUNTIF('NGO Impact Registry'!B:B,A12)</x:f>
        <x:v>28</x:v>
      </x:c>
      <x:c r="C12" s="26" t="n">
        <x:f>COUNTIFS('NGO Impact Registry'!B:B,A12,'NGO Impact Registry'!N:N,"High")</x:f>
        <x:v>12</x:v>
      </x:c>
      <x:c r="D12" s="27" t="n">
        <x:f>COUNTIFS('NGO Impact Registry'!B:B,A12,'NGO Impact Registry'!L:L,"Official*")+COUNTIFS('NGO Impact Registry'!B:B,A12,'NGO Impact Registry'!L:L,"Public*")</x:f>
        <x:v>0</x:v>
      </x:c>
    </x:row>
    <x:row r="13">
      <x:c r="A13" s="25" t="str">
        <x:v>Jammu Region</x:v>
      </x:c>
      <x:c r="B13" s="26" t="n">
        <x:f>COUNTIF('NGO Impact Registry'!B:B,A13)</x:f>
        <x:v>21</x:v>
      </x:c>
      <x:c r="C13" s="26" t="n">
        <x:f>COUNTIFS('NGO Impact Registry'!B:B,A13,'NGO Impact Registry'!N:N,"High")</x:f>
        <x:v>4</x:v>
      </x:c>
      <x:c r="D13" s="27" t="n">
        <x:f>COUNTIFS('NGO Impact Registry'!B:B,A13,'NGO Impact Registry'!L:L,"Official*")+COUNTIFS('NGO Impact Registry'!B:B,A13,'NGO Impact Registry'!L:L,"Public*")</x:f>
        <x:v>0</x:v>
      </x:c>
    </x:row>
    <x:row r="14">
      <x:c r="A14" s="25" t="str">
        <x:v>Kashmir Valley</x:v>
      </x:c>
      <x:c r="B14" s="26" t="n">
        <x:f>COUNTIF('NGO Impact Registry'!B:B,A14)</x:f>
        <x:v>34</x:v>
      </x:c>
      <x:c r="C14" s="26" t="n">
        <x:f>COUNTIFS('NGO Impact Registry'!B:B,A14,'NGO Impact Registry'!N:N,"High")</x:f>
        <x:v>6</x:v>
      </x:c>
      <x:c r="D14" s="27" t="n">
        <x:f>COUNTIFS('NGO Impact Registry'!B:B,A14,'NGO Impact Registry'!L:L,"Official*")+COUNTIFS('NGO Impact Registry'!B:B,A14,'NGO Impact Registry'!L:L,"Public*")</x:f>
        <x:v>0</x:v>
      </x:c>
    </x:row>
    <x:row r="15">
      <x:c r="A15" s="28" t="str">
        <x:v>Ladakh</x:v>
      </x:c>
      <x:c r="B15" s="29" t="n">
        <x:f>COUNTIF('NGO Impact Registry'!B:B,A15)</x:f>
        <x:v>26</x:v>
      </x:c>
      <x:c r="C15" s="29" t="n">
        <x:f>COUNTIFS('NGO Impact Registry'!B:B,A15,'NGO Impact Registry'!N:N,"High")</x:f>
        <x:v>10</x:v>
      </x:c>
      <x:c r="D15" s="30" t="n">
        <x:f>COUNTIFS('NGO Impact Registry'!B:B,A15,'NGO Impact Registry'!L:L,"Official*")+COUNTIFS('NGO Impact Registry'!B:B,A15,'NGO Impact Registry'!L:L,"Public*")</x:f>
        <x:v>0</x:v>
      </x:c>
    </x:row>
  </x:sheetData>
  <x:pageMargins left="0.7" right="0.7" top="0.75" bottom="0.75" header="0.3" footer="0.3"/>
  <x:drawing xmlns:r="http://schemas.openxmlformats.org/officeDocument/2006/relationships" r:id="Rc04477124cce4d97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40" hidden="0" customWidth="1"/>
    <x:col min="5" max="5" width="24" hidden="0" customWidth="1"/>
    <x:col min="6" max="6" width="26" hidden="0" customWidth="1"/>
    <x:col min="7" max="7" width="55" hidden="0" customWidth="1"/>
    <x:col min="8" max="8" width="28" hidden="0" customWidth="1"/>
    <x:col min="9" max="9" width="25" hidden="0" customWidth="1"/>
    <x:col min="10" max="10" width="38" hidden="0" customWidth="1"/>
    <x:col min="11" max="11" width="45" hidden="0" customWidth="1"/>
    <x:col min="12" max="12" width="22" hidden="0" customWidth="1"/>
    <x:col min="13" max="13" width="34" hidden="0" customWidth="1"/>
    <x:col min="14" max="14" width="12" hidden="0" customWidth="1"/>
    <x:col min="15" max="15" width="38" hidden="0" customWidth="1"/>
  </x:cols>
  <x:sheetData>
    <x:row r="1" ht="30" customHeight="1">
      <x:c r="A1" s="48" t="str">
        <x:v>ID</x:v>
      </x:c>
      <x:c r="B1" s="48" t="str">
        <x:v>Region</x:v>
      </x:c>
      <x:c r="C1" s="48" t="str">
        <x:v>Subregion / District</x:v>
      </x:c>
      <x:c r="D1" s="48" t="str">
        <x:v>Organization / Initiative</x:v>
      </x:c>
      <x:c r="E1" s="48" t="str">
        <x:v>Stakeholder Type</x:v>
      </x:c>
      <x:c r="F1" s="48" t="str">
        <x:v>Environmental Domain</x:v>
      </x:c>
      <x:c r="G1" s="48" t="str">
        <x:v>Known Work / Public Impact Signal</x:v>
      </x:c>
      <x:c r="H1" s="48" t="str">
        <x:v>Public Email</x:v>
      </x:c>
      <x:c r="I1" s="48" t="str">
        <x:v>Public Phone / WhatsApp-style</x:v>
      </x:c>
      <x:c r="J1" s="48" t="str">
        <x:v>Website / Social</x:v>
      </x:c>
      <x:c r="K1" s="48" t="str">
        <x:v>Source URL</x:v>
      </x:c>
      <x:c r="L1" s="48" t="str">
        <x:v>Verification Level</x:v>
      </x:c>
      <x:c r="M1" s="48" t="str">
        <x:v>Suggested KEW KPI Fit</x:v>
      </x:c>
      <x:c r="N1" s="48" t="str">
        <x:v>Priority</x:v>
      </x:c>
      <x:c r="O1" s="48" t="str">
        <x:v>Notes</x:v>
      </x:c>
    </x:row>
    <x:row r="2" ht="42" customHeight="1">
      <x:c r="A2" s="14" t="n">
        <x:v>1</x:v>
      </x:c>
      <x:c r="B2" s="14" t="str">
        <x:v>Kashmir Valley</x:v>
      </x:c>
      <x:c r="C2" s="14" t="str">
        <x:v>Srinagar / Nigeen</x:v>
      </x:c>
      <x:c r="D2" s="14" t="str">
        <x:v>Nigeen Lake Conservation Organisation (NLCO)</x:v>
      </x:c>
      <x:c r="E2" s="14" t="str">
        <x:v>NGO / lake conservation group</x:v>
      </x:c>
      <x:c r="F2" s="14" t="str">
        <x:v>Lake restoration, waste, civic action</x:v>
      </x:c>
      <x:c r="G2" s="14" t="str">
        <x:v>Mission Ehsaas, lake/urban cleanliness initiatives, stakeholder dialogues on Kashmir environment.</x:v>
      </x:c>
      <x:c r="H2" s="14" t="str">
        <x:v>Not found in public search</x:v>
      </x:c>
      <x:c r="I2" s="14" t="str">
        <x:v>Public social pages only</x:v>
      </x:c>
      <x:c r="J2" s="14" t="str">
        <x:v>https://www.facebook.com/NigeenLakeConservationOrganisation/</x:v>
      </x:c>
      <x:c r="K2" s="14" t="str">
        <x:v>https://www.facebook.com/NigeenLakeConservationOrganisation/</x:v>
      </x:c>
      <x:c r="L2" s="14" t="str">
        <x:v>Public social presence; contact not verified</x:v>
      </x:c>
      <x:c r="M2" s="14" t="str">
        <x:v>Lake restoration, public mobilization, cleanliness campaigns</x:v>
      </x:c>
      <x:c r="N2" s="14" t="str">
        <x:v>High</x:v>
      </x:c>
      <x:c r="O2" s="14" t="str">
        <x:v>Needs direct verification of official email/WhatsApp.</x:v>
      </x:c>
    </x:row>
    <x:row r="3" ht="42" customHeight="1">
      <x:c r="A3" s="14" t="n">
        <x:v>2</x:v>
      </x:c>
      <x:c r="B3" s="14" t="str">
        <x:v>Kashmir Valley</x:v>
      </x:c>
      <x:c r="C3" s="14" t="str">
        <x:v>Srinagar / Kashmir-wide</x:v>
      </x:c>
      <x:c r="D3" s="14" t="str">
        <x:v>Dr Raja Muzaffar Bhat / RTI Movement / CCCH</x:v>
      </x:c>
      <x:c r="E3" s="14" t="str">
        <x:v>Public-interest environmental advocate / civil society</x:v>
      </x:c>
      <x:c r="F3" s="14" t="str">
        <x:v>Waste, wetlands, governance, RTI, environmental litigation</x:v>
      </x:c>
      <x:c r="G3" s="14" t="str">
        <x:v>Public environmental writing, waste-crisis advocacy, wetlands and governance issues; Down To Earth profile lists him as activist/columnist and managing trustee of CCCH.</x:v>
      </x:c>
      <x:c r="H3" s="14" t="str">
        <x:v>bhatrajamuzaffar@gmail.com</x:v>
      </x:c>
      <x:c r="I3" s="14" t="str">
        <x:v>81402 (partial shown on ANU profile; verify before use)</x:v>
      </x:c>
      <x:c r="J3" s="14" t="str">
        <x:v>http://www.jkrtimovement.org/</x:v>
      </x:c>
      <x:c r="K3" s="14" t="str">
        <x:v>https://www.downtoearth.org.in/author/raja-muzaffar-bhat</x:v>
      </x:c>
      <x:c r="L3" s="14" t="str">
        <x:v>Public profile / public email from prior verified listing</x:v>
      </x:c>
      <x:c r="M3" s="14" t="str">
        <x:v>Environmental governance, waste, PIL-support, media education</x:v>
      </x:c>
      <x:c r="N3" s="14" t="str">
        <x:v>High</x:v>
      </x:c>
      <x:c r="O3" s="14" t="str">
        <x:v>Use professional outreach, verify phone before calling.</x:v>
      </x:c>
    </x:row>
    <x:row r="4" ht="42" customHeight="1">
      <x:c r="A4" s="14" t="n">
        <x:v>3</x:v>
      </x:c>
      <x:c r="B4" s="14" t="str">
        <x:v>Kashmir Valley</x:v>
      </x:c>
      <x:c r="C4" s="14" t="str">
        <x:v>Srinagar / Kashmir-wide</x:v>
      </x:c>
      <x:c r="D4" s="14" t="str">
        <x:v>Group of Concerned Citizens J&amp;K</x:v>
      </x:c>
      <x:c r="E4" s="14" t="str">
        <x:v>Civil society platform</x:v>
      </x:c>
      <x:c r="F4" s="14" t="str">
        <x:v>Natural environment, public dialogue</x:v>
      </x:c>
      <x:c r="G4" s="14" t="str">
        <x:v>Public seminars on protection of natural environment in J&amp;K reported by local media/social sources.</x:v>
      </x:c>
      <x:c r="H4" s="14" t="str">
        <x:v>Not found</x:v>
      </x:c>
      <x:c r="I4" s="14" t="str">
        <x:v>Not found</x:v>
      </x:c>
      <x:c r="J4" s="14" t="str">
        <x:v>https://www.facebook.com/KnsKashmir/posts/watch-the-group-of-concerned-citizens-jk-organized-a-seminar-on-the-protection-o/1422342386586013/</x:v>
      </x:c>
      <x:c r="K4" s="14" t="str">
        <x:v>https://www.facebook.com/KnsKashmir/posts/watch-the-group-of-concerned-citizens-jk-organized-a-seminar-on-the-protection-o/1422342386586013/</x:v>
      </x:c>
      <x:c r="L4" s="14" t="str">
        <x:v>Media/social signal only</x:v>
      </x:c>
      <x:c r="M4" s="14" t="str">
        <x:v>Policy dialogue, public hearings, expert convening</x:v>
      </x:c>
      <x:c r="N4" s="14" t="str">
        <x:v>High</x:v>
      </x:c>
      <x:c r="O4" s="14" t="str">
        <x:v>Good convening partner; needs official contact.</x:v>
      </x:c>
    </x:row>
    <x:row r="5" ht="42" customHeight="1">
      <x:c r="A5" s="14" t="n">
        <x:v>4</x:v>
      </x:c>
      <x:c r="B5" s="14" t="str">
        <x:v>Kashmir Valley</x:v>
      </x:c>
      <x:c r="C5" s="14" t="str">
        <x:v>Srinagar / Doodh Ganga</x:v>
      </x:c>
      <x:c r="D5" s="14" t="str">
        <x:v>Doodh Ganga restoration advocacy network</x:v>
      </x:c>
      <x:c r="E5" s="14" t="str">
        <x:v>Citizen / activist network</x:v>
      </x:c>
      <x:c r="F5" s="14" t="str">
        <x:v>Stream restoration, waste, pollution</x:v>
      </x:c>
      <x:c r="G5" s="14" t="str">
        <x:v>Public activism and media coverage around resuscitation of trout-bearing stream and waste governance.</x:v>
      </x:c>
      <x:c r="H5" s="14" t="str">
        <x:v>Not found</x:v>
      </x:c>
      <x:c r="I5" s="14" t="str">
        <x:v>Not found</x:v>
      </x:c>
      <x:c r="J5" s="14" t="str">
        <x:v>https://www.downtoearth.org.in/</x:v>
      </x:c>
      <x:c r="K5" s="14" t="str">
        <x:v>https://www.downtoearth.org.in/author/raja-muzaffar-bhat</x:v>
      </x:c>
      <x:c r="L5" s="14" t="str">
        <x:v>Thematic source; network needs mapping</x:v>
      </x:c>
      <x:c r="M5" s="14" t="str">
        <x:v>River/stream restoration, citizen science</x:v>
      </x:c>
      <x:c r="N5" s="14" t="str">
        <x:v>High</x:v>
      </x:c>
      <x:c r="O5" s="14" t="str">
        <x:v>Treat as issue cluster rather than single NGO.</x:v>
      </x:c>
    </x:row>
    <x:row r="6" ht="42" customHeight="1">
      <x:c r="A6" s="14" t="n">
        <x:v>5</x:v>
      </x:c>
      <x:c r="B6" s="14" t="str">
        <x:v>Kashmir Valley</x:v>
      </x:c>
      <x:c r="C6" s="14" t="str">
        <x:v>Srinagar</x:v>
      </x:c>
      <x:c r="D6" s="14" t="str">
        <x:v>Go Green Srinagar / JKEW</x:v>
      </x:c>
      <x:c r="E6" s="14" t="str">
        <x:v>Citizen environment group</x:v>
      </x:c>
      <x:c r="F6" s="14" t="str">
        <x:v>Urban cleanliness, plantation, public awareness</x:v>
      </x:c>
      <x:c r="G6" s="14" t="str">
        <x:v>Appears in public environmental social posts and community mobilization references.</x:v>
      </x:c>
      <x:c r="H6" s="14" t="str">
        <x:v>Not found</x:v>
      </x:c>
      <x:c r="I6" s="14" t="str">
        <x:v>Not found</x:v>
      </x:c>
      <x:c r="J6" s="14" t="str">
        <x:v>Public Facebook/social group references</x:v>
      </x:c>
      <x:c r="K6" s="14" t="str">
        <x:v>https://www.facebook.com/DrRajaMuzaffar/posts/the-said-management-action-plan-for-wetlands-was-prepared-only-after-the-ngts-20/1285326350301186/</x:v>
      </x:c>
      <x:c r="L6" s="14" t="str">
        <x:v>Social signal only</x:v>
      </x:c>
      <x:c r="M6" s="14" t="str">
        <x:v>Urban cleanliness, volunteer mobilization</x:v>
      </x:c>
      <x:c r="N6" s="14" t="str">
        <x:v>Medium</x:v>
      </x:c>
      <x:c r="O6" s="14" t="str">
        <x:v>Needs verification.</x:v>
      </x:c>
    </x:row>
    <x:row r="7" ht="42" customHeight="1">
      <x:c r="A7" s="14" t="n">
        <x:v>6</x:v>
      </x:c>
      <x:c r="B7" s="14" t="str">
        <x:v>Kashmir Valley</x:v>
      </x:c>
      <x:c r="C7" s="14" t="str">
        <x:v>Srinagar</x:v>
      </x:c>
      <x:c r="D7" s="14" t="str">
        <x:v>Kashmir Concern</x:v>
      </x:c>
      <x:c r="E7" s="14" t="str">
        <x:v>NGO / civil society</x:v>
      </x:c>
      <x:c r="F7" s="14" t="str">
        <x:v>Environmental sustainability, social welfare</x:v>
      </x:c>
      <x:c r="G7" s="14" t="str">
        <x:v>Reported as a non-profit dedicated to social welfare and environmental sustainability.</x:v>
      </x:c>
      <x:c r="H7" s="14" t="str">
        <x:v>Not found</x:v>
      </x:c>
      <x:c r="I7" s="14" t="str">
        <x:v>Not found</x:v>
      </x:c>
      <x:c r="J7" s="14" t="str">
        <x:v>Public social/media references</x:v>
      </x:c>
      <x:c r="K7" s="14" t="str">
        <x:v>https://www.facebook.com/cityreporterofficial/posts/srinagar-kashmir-concern-ngo-led-by-its-chairman-dr-touseef-ahmed-has-welcomed-c/1359819892818129/</x:v>
      </x:c>
      <x:c r="L7" s="14" t="str">
        <x:v>Social/media signal only</x:v>
      </x:c>
      <x:c r="M7" s="14" t="str">
        <x:v>Urban environment, civic education</x:v>
      </x:c>
      <x:c r="N7" s="14" t="str">
        <x:v>Medium</x:v>
      </x:c>
      <x:c r="O7" s="14" t="str">
        <x:v>Verify registration and current activity.</x:v>
      </x:c>
    </x:row>
    <x:row r="8" ht="42" customHeight="1">
      <x:c r="A8" s="14" t="n">
        <x:v>7</x:v>
      </x:c>
      <x:c r="B8" s="14" t="str">
        <x:v>Kashmir Valley</x:v>
      </x:c>
      <x:c r="C8" s="14" t="str">
        <x:v>Srinagar</x:v>
      </x:c>
      <x:c r="D8" s="14" t="str">
        <x:v>Animal Aid Kashmir</x:v>
      </x:c>
      <x:c r="E8" s="14" t="str">
        <x:v>NGO / animal welfare</x:v>
      </x:c>
      <x:c r="F8" s="14" t="str">
        <x:v>Urban ecology, stray animal management</x:v>
      </x:c>
      <x:c r="G8" s="14" t="str">
        <x:v>Publicly referenced in stray dog/environment discussions; useful for urban ecological conflict, welfare, public health interface.</x:v>
      </x:c>
      <x:c r="H8" s="14" t="str">
        <x:v>Not found</x:v>
      </x:c>
      <x:c r="I8" s="14" t="str">
        <x:v>Not found</x:v>
      </x:c>
      <x:c r="J8" s="14" t="str">
        <x:v>Public social pages</x:v>
      </x:c>
      <x:c r="K8" s="14" t="str">
        <x:v>https://www.instagram.com/reel/Dac4IYCuLfP/</x:v>
      </x:c>
      <x:c r="L8" s="14" t="str">
        <x:v>Social signal only</x:v>
      </x:c>
      <x:c r="M8" s="14" t="str">
        <x:v>Stray dog issue, urban health, public education</x:v>
      </x:c>
      <x:c r="N8" s="14" t="str">
        <x:v>Medium</x:v>
      </x:c>
      <x:c r="O8" s="14" t="str">
        <x:v>Not purely environmental but relevant to human-animal conflict.</x:v>
      </x:c>
    </x:row>
    <x:row r="9" ht="42" customHeight="1">
      <x:c r="A9" s="14" t="n">
        <x:v>8</x:v>
      </x:c>
      <x:c r="B9" s="14" t="str">
        <x:v>Kashmir Valley</x:v>
      </x:c>
      <x:c r="C9" s="14" t="str">
        <x:v>Srinagar / Schools network</x:v>
      </x:c>
      <x:c r="D9" s="14" t="str">
        <x:v>Private Schools’ Association J&amp;K environment collaborations</x:v>
      </x:c>
      <x:c r="E9" s="14" t="str">
        <x:v>Education association / campaign partner</x:v>
      </x:c>
      <x:c r="F9" s="14" t="str">
        <x:v>Green campus, waste awareness, civic education</x:v>
      </x:c>
      <x:c r="G9" s="14" t="str">
        <x:v>Partnered with NLCO in multi-stakeholder dialogue; can scale school-based green campus campaigns.</x:v>
      </x:c>
      <x:c r="H9" s="14" t="str">
        <x:v>psakashmir@gmail.com; generalsecretarypsajk@gmail.com</x:v>
      </x:c>
      <x:c r="I9" s="14" t="str">
        <x:v>+91 7889578450; +91 9103947100; +91 9797792782</x:v>
      </x:c>
      <x:c r="J9" s="14" t="str">
        <x:v>https://jkpsa.org/</x:v>
      </x:c>
      <x:c r="K9" s="14" t="str">
        <x:v>https://jkpsa.org/</x:v>
      </x:c>
      <x:c r="L9" s="14" t="str">
        <x:v>Official/public contact page from prior outreach</x:v>
      </x:c>
      <x:c r="M9" s="14" t="str">
        <x:v>Green campus, student mobilization, waste awareness</x:v>
      </x:c>
      <x:c r="N9" s="14" t="str">
        <x:v>High</x:v>
      </x:c>
      <x:c r="O9" s="14" t="str">
        <x:v>High leverage for school network campaigns.</x:v>
      </x:c>
    </x:row>
    <x:row r="10" ht="42" customHeight="1">
      <x:c r="A10" s="14" t="n">
        <x:v>9</x:v>
      </x:c>
      <x:c r="B10" s="14" t="str">
        <x:v>Kashmir Valley</x:v>
      </x:c>
      <x:c r="C10" s="14" t="str">
        <x:v>Srinagar / University</x:v>
      </x:c>
      <x:c r="D10" s="14" t="str">
        <x:v>University of Kashmir Department of Environmental Science</x:v>
      </x:c>
      <x:c r="E10" s="14" t="str">
        <x:v>Academic institution / stakeholder</x:v>
      </x:c>
      <x:c r="F10" s="14" t="str">
        <x:v>Research, policy, ecological monitoring</x:v>
      </x:c>
      <x:c r="G10" s="14" t="str">
        <x:v>Potential partner for environmental audits, State of Environment reports, GIS and hydrology studies.</x:v>
      </x:c>
      <x:c r="H10" s="14" t="str">
        <x:v>ecsspp@uok.edu.in</x:v>
      </x:c>
      <x:c r="I10" s="14" t="str">
        <x:v>+91 94693 22801 (conference contact)</x:v>
      </x:c>
      <x:c r="J10" s="14" t="str">
        <x:v>https://envirsc.uok.edu.in/</x:v>
      </x:c>
      <x:c r="K10" s="14" t="str">
        <x:v>https://ecsspp.uok.edu.in/</x:v>
      </x:c>
      <x:c r="L10" s="14" t="str">
        <x:v>Official conference contact / institutional site</x:v>
      </x:c>
      <x:c r="M10" s="14" t="str">
        <x:v>Research, public science, policy briefs</x:v>
      </x:c>
      <x:c r="N10" s="14" t="str">
        <x:v>High</x:v>
      </x:c>
      <x:c r="O10" s="14" t="str">
        <x:v>Academic stakeholder, not NGO.</x:v>
      </x:c>
    </x:row>
    <x:row r="11" ht="42" customHeight="1">
      <x:c r="A11" s="14" t="n">
        <x:v>10</x:v>
      </x:c>
      <x:c r="B11" s="14" t="str">
        <x:v>Kashmir Valley</x:v>
      </x:c>
      <x:c r="C11" s="14" t="str">
        <x:v>Srinagar</x:v>
      </x:c>
      <x:c r="D11" s="14" t="str">
        <x:v>Centre for Conservation of Culture &amp; Heritage (CCCH)</x:v>
      </x:c>
      <x:c r="E11" s="14" t="str">
        <x:v>Civil society / heritage-environment interface</x:v>
      </x:c>
      <x:c r="F11" s="14" t="str">
        <x:v>Culture, environment, heritage conservation</x:v>
      </x:c>
      <x:c r="G11" s="14" t="str">
        <x:v>Associated publicly with Raja Muzaffar Bhat as managing trustee; relevant for heritage ecology and conservation culture.</x:v>
      </x:c>
      <x:c r="H11" s="14" t="str">
        <x:v>Not found</x:v>
      </x:c>
      <x:c r="I11" s="14" t="str">
        <x:v>Not found</x:v>
      </x:c>
      <x:c r="J11" s="14" t="str">
        <x:v>Public profile reference</x:v>
      </x:c>
      <x:c r="K11" s="14" t="str">
        <x:v>https://www.downtoearth.org.in/author/raja-muzaffar-bhat</x:v>
      </x:c>
      <x:c r="L11" s="14" t="str">
        <x:v>Profile signal only</x:v>
      </x:c>
      <x:c r="M11" s="14" t="str">
        <x:v>Heritage ecology, public campaigns</x:v>
      </x:c>
      <x:c r="N11" s="14" t="str">
        <x:v>Medium</x:v>
      </x:c>
      <x:c r="O11" s="14" t="str">
        <x:v>Needs direct verification.</x:v>
      </x:c>
    </x:row>
    <x:row r="12" ht="42" customHeight="1">
      <x:c r="A12" s="14" t="n">
        <x:v>11</x:v>
      </x:c>
      <x:c r="B12" s="14" t="str">
        <x:v>Kashmir Valley</x:v>
      </x:c>
      <x:c r="C12" s="14" t="str">
        <x:v>Srinagar / Kashmir-wide</x:v>
      </x:c>
      <x:c r="D12" s="14" t="str">
        <x:v>Kashmir Environmental and Social Organization candidates via NGOBase</x:v>
      </x:c>
      <x:c r="E12" s="14" t="str">
        <x:v>Directory cluster / potential NGOs</x:v>
      </x:c>
      <x:c r="F12" s="14" t="str">
        <x:v>Environment and climate</x:v>
      </x:c>
      <x:c r="G12" s="14" t="str">
        <x:v>NGOBase lists environment-and-climate NGOs in J&amp;K, including Himalayan Welfare Organization.</x:v>
      </x:c>
      <x:c r="H12" s="14" t="str">
        <x:v>Not found</x:v>
      </x:c>
      <x:c r="I12" s="14" t="str">
        <x:v>Not found</x:v>
      </x:c>
      <x:c r="J12" s="14" t="str">
        <x:v>https://ngobase.org/stwa/IN.JK/ENC/environment-and-climate-ngos-charities-jammu-and-kashmir</x:v>
      </x:c>
      <x:c r="K12" s="14" t="str">
        <x:v>https://ngobase.org/stwa/IN.JK/ENC/environment-and-climate-ngos-charities-jammu-and-kashmir</x:v>
      </x:c>
      <x:c r="L12" s="14" t="str">
        <x:v>Directory listing</x:v>
      </x:c>
      <x:c r="M12" s="14" t="str">
        <x:v>NGO discovery / registry expansion</x:v>
      </x:c>
      <x:c r="N12" s="14" t="str">
        <x:v>Medium</x:v>
      </x:c>
      <x:c r="O12" s="14" t="str">
        <x:v>Use as lead source; verify each NGO.</x:v>
      </x:c>
    </x:row>
    <x:row r="13" ht="42" customHeight="1">
      <x:c r="A13" s="14" t="n">
        <x:v>12</x:v>
      </x:c>
      <x:c r="B13" s="14" t="str">
        <x:v>Kashmir Valley</x:v>
      </x:c>
      <x:c r="C13" s="14" t="str">
        <x:v>Kashmir-wide</x:v>
      </x:c>
      <x:c r="D13" s="14" t="str">
        <x:v>Himalayan Welfare Organization (HWO)</x:v>
      </x:c>
      <x:c r="E13" s="14" t="str">
        <x:v>NGO / directory-listed</x:v>
      </x:c>
      <x:c r="F13" s="14" t="str">
        <x:v>Environment, education, health, eco-sports</x:v>
      </x:c>
      <x:c r="G13" s="14" t="str">
        <x:v>NGOBase summary describes focus on environmental conservation, education, healthcare, sports adventure, and eco-activities.</x:v>
      </x:c>
      <x:c r="H13" s="14" t="str">
        <x:v>Not found</x:v>
      </x:c>
      <x:c r="I13" s="14" t="str">
        <x:v>Not found</x:v>
      </x:c>
      <x:c r="J13" s="14" t="str">
        <x:v>https://ngobase.org/stwa/IN.JK/ENC/environment-and-climate-ngos-charities-jammu-and-kashmir</x:v>
      </x:c>
      <x:c r="K13" s="14" t="str">
        <x:v>https://ngobase.org/stwa/IN.JK/ENC/environment-and-climate-ngos-charities-jammu-and-kashmir</x:v>
      </x:c>
      <x:c r="L13" s="14" t="str">
        <x:v>Directory listing</x:v>
      </x:c>
      <x:c r="M13" s="14" t="str">
        <x:v>Environmental education, eco-tourism safety, youth engagement</x:v>
      </x:c>
      <x:c r="N13" s="14" t="str">
        <x:v>Medium</x:v>
      </x:c>
      <x:c r="O13" s="14" t="str">
        <x:v>Needs direct verification.</x:v>
      </x:c>
    </x:row>
    <x:row r="14" ht="42" customHeight="1">
      <x:c r="A14" s="14" t="n">
        <x:v>13</x:v>
      </x:c>
      <x:c r="B14" s="14" t="str">
        <x:v>Kashmir Valley</x:v>
      </x:c>
      <x:c r="C14" s="14" t="str">
        <x:v>Srinagar</x:v>
      </x:c>
      <x:c r="D14" s="14" t="str">
        <x:v>Care World</x:v>
      </x:c>
      <x:c r="E14" s="14" t="str">
        <x:v>NGO / OneIndia-listed</x:v>
      </x:c>
      <x:c r="F14" s="14" t="str">
        <x:v>Environment, drinking water, disaster management</x:v>
      </x:c>
      <x:c r="G14" s="14" t="str">
        <x:v>OneIndia NGO list shows sectors including environment &amp; forests, disaster management, drinking water, water resources.</x:v>
      </x:c>
      <x:c r="H14" s="14" t="str">
        <x:v>Not found</x:v>
      </x:c>
      <x:c r="I14" s="14" t="str">
        <x:v>Not found</x:v>
      </x:c>
      <x:c r="J14" s="14" t="str">
        <x:v>https://www.oneindia.com/ngos-in-srinagar-231.html</x:v>
      </x:c>
      <x:c r="K14" s="14" t="str">
        <x:v>https://www.oneindia.com/ngos-in-srinagar-231.html</x:v>
      </x:c>
      <x:c r="L14" s="14" t="str">
        <x:v>Directory listing</x:v>
      </x:c>
      <x:c r="M14" s="14" t="str">
        <x:v>Water resources, disaster management, community engagement</x:v>
      </x:c>
      <x:c r="N14" s="14" t="str">
        <x:v>Medium</x:v>
      </x:c>
      <x:c r="O14" s="14" t="str">
        <x:v>Verify active status.</x:v>
      </x:c>
    </x:row>
    <x:row r="15" ht="42" customHeight="1">
      <x:c r="A15" s="14" t="n">
        <x:v>14</x:v>
      </x:c>
      <x:c r="B15" s="14" t="str">
        <x:v>Kashmir Valley</x:v>
      </x:c>
      <x:c r="C15" s="14" t="str">
        <x:v>Srinagar</x:v>
      </x:c>
      <x:c r="D15" s="14" t="str">
        <x:v>Kashmir Artisans Society</x:v>
      </x:c>
      <x:c r="E15" s="14" t="str">
        <x:v>NGO / OneIndia-listed</x:v>
      </x:c>
      <x:c r="F15" s="14" t="str">
        <x:v>Drinking water, rural/urban development</x:v>
      </x:c>
      <x:c r="G15" s="14" t="str">
        <x:v>Listed with drinking water and development sectors; not purely environment but relevant to community development/water.</x:v>
      </x:c>
      <x:c r="H15" s="14" t="str">
        <x:v>Not found</x:v>
      </x:c>
      <x:c r="I15" s="14" t="str">
        <x:v>Not found</x:v>
      </x:c>
      <x:c r="J15" s="14" t="str">
        <x:v>https://www.oneindia.com/ngos-in-srinagar-231.html</x:v>
      </x:c>
      <x:c r="K15" s="14" t="str">
        <x:v>https://www.oneindia.com/ngos-in-srinagar-231.html</x:v>
      </x:c>
      <x:c r="L15" s="14" t="str">
        <x:v>Directory listing</x:v>
      </x:c>
      <x:c r="M15" s="14" t="str">
        <x:v>Water, livelihoods, community outreach</x:v>
      </x:c>
      <x:c r="N15" s="14" t="str">
        <x:v>Low</x:v>
      </x:c>
      <x:c r="O15" s="14" t="str">
        <x:v>Not primarily environmental.</x:v>
      </x:c>
    </x:row>
    <x:row r="16" ht="42" customHeight="1">
      <x:c r="A16" s="14" t="n">
        <x:v>15</x:v>
      </x:c>
      <x:c r="B16" s="14" t="str">
        <x:v>Kashmir Valley</x:v>
      </x:c>
      <x:c r="C16" s="14" t="str">
        <x:v>Srinagar</x:v>
      </x:c>
      <x:c r="D16" s="14" t="str">
        <x:v>Self Employed Womens Association (SEWA) Kashmir listing</x:v>
      </x:c>
      <x:c r="E16" s="14" t="str">
        <x:v>NGO / community-based</x:v>
      </x:c>
      <x:c r="F16" s="14" t="str">
        <x:v>Women, livelihoods, water/development</x:v>
      </x:c>
      <x:c r="G16" s="14" t="str">
        <x:v>Listed in Srinagar NGO directory; relevance if linking environment, livelihoods, waste, and women-led action.</x:v>
      </x:c>
      <x:c r="H16" s="14" t="str">
        <x:v>Not found</x:v>
      </x:c>
      <x:c r="I16" s="14" t="str">
        <x:v>Not found</x:v>
      </x:c>
      <x:c r="J16" s="14" t="str">
        <x:v>https://www.oneindia.com/ngos-in-srinagar-231.html</x:v>
      </x:c>
      <x:c r="K16" s="14" t="str">
        <x:v>https://www.oneindia.com/ngos-in-srinagar-231.html</x:v>
      </x:c>
      <x:c r="L16" s="14" t="str">
        <x:v>Directory listing</x:v>
      </x:c>
      <x:c r="M16" s="14" t="str">
        <x:v>Gender-water-waste linkage</x:v>
      </x:c>
      <x:c r="N16" s="14" t="str">
        <x:v>Low</x:v>
      </x:c>
      <x:c r="O16" s="14" t="str">
        <x:v>Verify local presence.</x:v>
      </x:c>
    </x:row>
    <x:row r="17" ht="42" customHeight="1">
      <x:c r="A17" s="14" t="n">
        <x:v>16</x:v>
      </x:c>
      <x:c r="B17" s="14" t="str">
        <x:v>Kashmir Valley</x:v>
      </x:c>
      <x:c r="C17" s="14" t="str">
        <x:v>Shopian</x:v>
      </x:c>
      <x:c r="D17" s="14" t="str">
        <x:v>Mohammadiya Institution Shopian environment activities</x:v>
      </x:c>
      <x:c r="E17" s="14" t="str">
        <x:v>School / civic campaign node</x:v>
      </x:c>
      <x:c r="F17" s="14" t="str">
        <x:v>Plastic reduction, awareness</x:v>
      </x:c>
      <x:c r="G17" s="14" t="str">
        <x:v>Public post references environment-day and single-use plastic awareness in Shopian.</x:v>
      </x:c>
      <x:c r="H17" s="14" t="str">
        <x:v>Not found</x:v>
      </x:c>
      <x:c r="I17" s="14" t="str">
        <x:v>+91 91497 (partial from public post; verify)</x:v>
      </x:c>
      <x:c r="J17" s="14" t="str">
        <x:v>Instagram public post</x:v>
      </x:c>
      <x:c r="K17" s="14" t="str">
        <x:v>https://www.instagram.com/p/DYUrlpTzdGr/?hl=en</x:v>
      </x:c>
      <x:c r="L17" s="14" t="str">
        <x:v>Social signal only</x:v>
      </x:c>
      <x:c r="M17" s="14" t="str">
        <x:v>Single-use plastic awareness, school outreach</x:v>
      </x:c>
      <x:c r="N17" s="14" t="str">
        <x:v>Low</x:v>
      </x:c>
      <x:c r="O17" s="14" t="str">
        <x:v>Not NGO; useful campaign node.</x:v>
      </x:c>
    </x:row>
    <x:row r="18" ht="42" customHeight="1">
      <x:c r="A18" s="14" t="n">
        <x:v>17</x:v>
      </x:c>
      <x:c r="B18" s="14" t="str">
        <x:v>Kashmir Valley</x:v>
      </x:c>
      <x:c r="C18" s="14" t="str">
        <x:v>Anantnag</x:v>
      </x:c>
      <x:c r="D18" s="14" t="str">
        <x:v>Sherbagh Spring rejuvenation / Team Prerana references</x:v>
      </x:c>
      <x:c r="E18" s="14" t="str">
        <x:v>Volunteer initiative / NGO candidate</x:v>
      </x:c>
      <x:c r="F18" s="14" t="str">
        <x:v>Spring restoration, freshwater</x:v>
      </x:c>
      <x:c r="G18" s="14" t="str">
        <x:v>Public social references to rejuvenation of Sherbagh Spring under NLCO-linked activity.</x:v>
      </x:c>
      <x:c r="H18" s="14" t="str">
        <x:v>Not found</x:v>
      </x:c>
      <x:c r="I18" s="14" t="str">
        <x:v>Not found</x:v>
      </x:c>
      <x:c r="J18" s="14" t="str">
        <x:v>Public Facebook references</x:v>
      </x:c>
      <x:c r="K18" s="14" t="str">
        <x:v>https://www.facebook.com/100064786776233/posts/team-prerana-the-inspiration-attending-the-workshop-cum-interaction-with-stakeho/969039001932317/</x:v>
      </x:c>
      <x:c r="L18" s="14" t="str">
        <x:v>Social signal only</x:v>
      </x:c>
      <x:c r="M18" s="14" t="str">
        <x:v>Spring restoration, community mobilization</x:v>
      </x:c>
      <x:c r="N18" s="14" t="str">
        <x:v>Medium</x:v>
      </x:c>
      <x:c r="O18" s="14" t="str">
        <x:v>Needs direct verification.</x:v>
      </x:c>
    </x:row>
    <x:row r="19" ht="42" customHeight="1">
      <x:c r="A19" s="14" t="n">
        <x:v>18</x:v>
      </x:c>
      <x:c r="B19" s="14" t="str">
        <x:v>Kashmir Valley</x:v>
      </x:c>
      <x:c r="C19" s="14" t="str">
        <x:v>Kashmir-wide</x:v>
      </x:c>
      <x:c r="D19" s="14" t="str">
        <x:v>Tree Talk / environmental education network</x:v>
      </x:c>
      <x:c r="E19" s="14" t="str">
        <x:v>Citizen science / public education</x:v>
      </x:c>
      <x:c r="F19" s="14" t="str">
        <x:v>Trees, biodiversity education</x:v>
      </x:c>
      <x:c r="G19" s="14" t="str">
        <x:v>Linked to environmental awareness and tree appreciation networks in Kashmir social references.</x:v>
      </x:c>
      <x:c r="H19" s="14" t="str">
        <x:v>Not found</x:v>
      </x:c>
      <x:c r="I19" s="14" t="str">
        <x:v>Not found</x:v>
      </x:c>
      <x:c r="J19" s="14" t="str">
        <x:v>Public social references</x:v>
      </x:c>
      <x:c r="K19" s="14" t="str">
        <x:v>https://www.facebook.com/thetypewriter.in/posts/exclusive-interview-with-environment-activist-dr-raja-muzaffar-bhat/1530599022407069/</x:v>
      </x:c>
      <x:c r="L19" s="14" t="str">
        <x:v>Social signal only</x:v>
      </x:c>
      <x:c r="M19" s="14" t="str">
        <x:v>Tree inventory, biodiversity education</x:v>
      </x:c>
      <x:c r="N19" s="14" t="str">
        <x:v>Medium</x:v>
      </x:c>
      <x:c r="O19" s="14" t="str">
        <x:v>Good KEW partner if active.</x:v>
      </x:c>
    </x:row>
    <x:row r="20" ht="42" customHeight="1">
      <x:c r="A20" s="14" t="n">
        <x:v>19</x:v>
      </x:c>
      <x:c r="B20" s="14" t="str">
        <x:v>Kashmir Valley</x:v>
      </x:c>
      <x:c r="C20" s="14" t="str">
        <x:v>Srinagar</x:v>
      </x:c>
      <x:c r="D20" s="14" t="str">
        <x:v>Kashmir Road Safety Foundation</x:v>
      </x:c>
      <x:c r="E20" s="14" t="str">
        <x:v>NGO / urban safety &amp; emissions relevance</x:v>
      </x:c>
      <x:c r="F20" s="14" t="str">
        <x:v>Traffic, air pollution, public safety</x:v>
      </x:c>
      <x:c r="G20" s="14" t="str">
        <x:v>Referenced in public traffic awareness programme; relevant to vehicular pollution and second-hand vehicle issue.</x:v>
      </x:c>
      <x:c r="H20" s="14" t="str">
        <x:v>Not found</x:v>
      </x:c>
      <x:c r="I20" s="14" t="str">
        <x:v>Not found</x:v>
      </x:c>
      <x:c r="J20" s="14" t="str">
        <x:v>Public social references</x:v>
      </x:c>
      <x:c r="K20" s="14" t="str">
        <x:v>https://www.facebook.com/iustjk/posts/nss-iust-organizes-traffic-awareness-programmeawantipora-march-27-the-national-s/1069081441915872/</x:v>
      </x:c>
      <x:c r="L20" s="14" t="str">
        <x:v>Social signal only</x:v>
      </x:c>
      <x:c r="M20" s="14" t="str">
        <x:v>Vehicular pollution, safety, behavioral campaigns</x:v>
      </x:c>
      <x:c r="N20" s="14" t="str">
        <x:v>Medium</x:v>
      </x:c>
      <x:c r="O20" s="14" t="str">
        <x:v>Not purely environmental but relevant to air pollution.</x:v>
      </x:c>
    </x:row>
    <x:row r="21" ht="42" customHeight="1">
      <x:c r="A21" s="14" t="n">
        <x:v>20</x:v>
      </x:c>
      <x:c r="B21" s="14" t="str">
        <x:v>Kashmir Valley</x:v>
      </x:c>
      <x:c r="C21" s="14" t="str">
        <x:v>Kashmir-wide</x:v>
      </x:c>
      <x:c r="D21" s="14" t="str">
        <x:v>Muslim scholars climate/environment initiative</x:v>
      </x:c>
      <x:c r="E21" s="14" t="str">
        <x:v>Faith-based community mobilization</x:v>
      </x:c>
      <x:c r="F21" s="14" t="str">
        <x:v>Climate awareness, civic environment</x:v>
      </x:c>
      <x:c r="G21" s="14" t="str">
        <x:v>Reported via Raja Muzaffar profile references; high potential for faith-based environmental education.</x:v>
      </x:c>
      <x:c r="H21" s="14" t="str">
        <x:v>Not found</x:v>
      </x:c>
      <x:c r="I21" s="14" t="str">
        <x:v>Not found</x:v>
      </x:c>
      <x:c r="J21" s="14" t="str">
        <x:v>Public social/profile references</x:v>
      </x:c>
      <x:c r="K21" s="14" t="str">
        <x:v>https://x.com/rtimuzaffar?lang=en</x:v>
      </x:c>
      <x:c r="L21" s="14" t="str">
        <x:v>Public profile signal</x:v>
      </x:c>
      <x:c r="M21" s="14" t="str">
        <x:v>Community mobilization, environmental ethics</x:v>
      </x:c>
      <x:c r="N21" s="14" t="str">
        <x:v>Medium</x:v>
      </x:c>
      <x:c r="O21" s="14" t="str">
        <x:v>Needs stakeholder mapping.</x:v>
      </x:c>
    </x:row>
    <x:row r="22" ht="42" customHeight="1">
      <x:c r="A22" s="14" t="n">
        <x:v>21</x:v>
      </x:c>
      <x:c r="B22" s="14" t="str">
        <x:v>Kashmir Valley</x:v>
      </x:c>
      <x:c r="C22" s="14" t="str">
        <x:v>Srinagar / Kashmir-wide</x:v>
      </x:c>
      <x:c r="D22" s="14" t="str">
        <x:v>Basix Social Enterprise Group J&amp;K operations legacy</x:v>
      </x:c>
      <x:c r="E22" s="14" t="str">
        <x:v>Social enterprise / waste and skills</x:v>
      </x:c>
      <x:c r="F22" s="14" t="str">
        <x:v>Solid waste management, skill development</x:v>
      </x:c>
      <x:c r="G22" s="14" t="str">
        <x:v>ANU profile states Raja Muzaffar Bhat headed J&amp;K operations at Basix Social Enterprise Group until Oct 2019, working on solid waste management, skills, financial inclusion.</x:v>
      </x:c>
      <x:c r="H22" s="14" t="str">
        <x:v>Not found</x:v>
      </x:c>
      <x:c r="I22" s="14" t="str">
        <x:v>Not found</x:v>
      </x:c>
      <x:c r="J22" s="14" t="str">
        <x:v>https://www.anu.edu.in/faculty/raja-muzaffar-bhat/</x:v>
      </x:c>
      <x:c r="K22" s="14" t="str">
        <x:v>https://www.anu.edu.in/faculty/raja-muzaffar-bhat/</x:v>
      </x:c>
      <x:c r="L22" s="14" t="str">
        <x:v>Institutional profile</x:v>
      </x:c>
      <x:c r="M22" s="14" t="str">
        <x:v>Solid waste management, livelihoods</x:v>
      </x:c>
      <x:c r="N22" s="14" t="str">
        <x:v>Medium</x:v>
      </x:c>
      <x:c r="O22" s="14" t="str">
        <x:v>Check if current J&amp;K operations exist.</x:v>
      </x:c>
    </x:row>
    <x:row r="23" ht="42" customHeight="1">
      <x:c r="A23" s="14" t="n">
        <x:v>22</x:v>
      </x:c>
      <x:c r="B23" s="14" t="str">
        <x:v>Jammu Region</x:v>
      </x:c>
      <x:c r="C23" s="14" t="str">
        <x:v>Jammu</x:v>
      </x:c>
      <x:c r="D23" s="14" t="str">
        <x:v>SGW Foundation</x:v>
      </x:c>
      <x:c r="E23" s="14" t="str">
        <x:v>NGO</x:v>
      </x:c>
      <x:c r="F23" s="14" t="str">
        <x:v>Environmental sustainability, healthcare</x:v>
      </x:c>
      <x:c r="G23" s="14" t="str">
        <x:v>Self-described Jammu-based NGO dedicated to environmental sustainability and healthcare initiatives.</x:v>
      </x:c>
      <x:c r="H23" s="14" t="str">
        <x:v>Not found on snippet</x:v>
      </x:c>
      <x:c r="I23" s="14" t="str">
        <x:v>Not found</x:v>
      </x:c>
      <x:c r="J23" s="14" t="str">
        <x:v>https://sgwfoundation.org/about/</x:v>
      </x:c>
      <x:c r="K23" s="14" t="str">
        <x:v>https://sgwfoundation.org/about/</x:v>
      </x:c>
      <x:c r="L23" s="14" t="str">
        <x:v>Official website/about</x:v>
      </x:c>
      <x:c r="M23" s="14" t="str">
        <x:v>Plantation, public health-environment, sustainability</x:v>
      </x:c>
      <x:c r="N23" s="14" t="str">
        <x:v>High</x:v>
      </x:c>
      <x:c r="O23" s="14" t="str">
        <x:v>Verify contact page.</x:v>
      </x:c>
    </x:row>
    <x:row r="24" ht="42" customHeight="1">
      <x:c r="A24" s="14" t="n">
        <x:v>23</x:v>
      </x:c>
      <x:c r="B24" s="14" t="str">
        <x:v>Jammu Region</x:v>
      </x:c>
      <x:c r="C24" s="14" t="str">
        <x:v>Jammu / province-wide</x:v>
      </x:c>
      <x:c r="D24" s="14" t="str">
        <x:v>Centre for Environment Education and Training (CEET)</x:v>
      </x:c>
      <x:c r="E24" s="14" t="str">
        <x:v>NGO partner / environmental education</x:v>
      </x:c>
      <x:c r="F24" s="14" t="str">
        <x:v>Environmental education, school/public awareness</x:v>
      </x:c>
      <x:c r="G24" s="14" t="str">
        <x:v>CEE page lists CEET as NGO partner for Jammu province.</x:v>
      </x:c>
      <x:c r="H24" s="14" t="str">
        <x:v>Not found</x:v>
      </x:c>
      <x:c r="I24" s="14" t="str">
        <x:v>Not found</x:v>
      </x:c>
      <x:c r="J24" s="14" t="str">
        <x:v>https://www.ceeindia.org/programmes/pm-h.php</x:v>
      </x:c>
      <x:c r="K24" s="14" t="str">
        <x:v>https://www.ceeindia.org/programmes/pm-h.php</x:v>
      </x:c>
      <x:c r="L24" s="14" t="str">
        <x:v>Official CEE partner reference</x:v>
      </x:c>
      <x:c r="M24" s="14" t="str">
        <x:v>Environmental education, outreach</x:v>
      </x:c>
      <x:c r="N24" s="14" t="str">
        <x:v>High</x:v>
      </x:c>
      <x:c r="O24" s="14" t="str">
        <x:v>Needs direct contact.</x:v>
      </x:c>
    </x:row>
    <x:row r="25" ht="42" customHeight="1">
      <x:c r="A25" s="14" t="n">
        <x:v>24</x:v>
      </x:c>
      <x:c r="B25" s="14" t="str">
        <x:v>Jammu Region</x:v>
      </x:c>
      <x:c r="C25" s="14" t="str">
        <x:v>Jammu / province-wide</x:v>
      </x:c>
      <x:c r="D25" s="14" t="str">
        <x:v>Arjun Youth Club</x:v>
      </x:c>
      <x:c r="E25" s="14" t="str">
        <x:v>NGO partner / youth organization</x:v>
      </x:c>
      <x:c r="F25" s="14" t="str">
        <x:v>Environmental education, youth outreach</x:v>
      </x:c>
      <x:c r="G25" s="14" t="str">
        <x:v>CEE page lists Arjun Youth Club as NGO partner for Jammu province.</x:v>
      </x:c>
      <x:c r="H25" s="14" t="str">
        <x:v>Not found</x:v>
      </x:c>
      <x:c r="I25" s="14" t="str">
        <x:v>Not found</x:v>
      </x:c>
      <x:c r="J25" s="14" t="str">
        <x:v>https://www.ceeindia.org/programmes/pm-h.php</x:v>
      </x:c>
      <x:c r="K25" s="14" t="str">
        <x:v>https://www.ceeindia.org/programmes/pm-h.php</x:v>
      </x:c>
      <x:c r="L25" s="14" t="str">
        <x:v>Official CEE partner reference</x:v>
      </x:c>
      <x:c r="M25" s="14" t="str">
        <x:v>Youth mobilization, environmental education</x:v>
      </x:c>
      <x:c r="N25" s="14" t="str">
        <x:v>Medium</x:v>
      </x:c>
      <x:c r="O25" s="14" t="str">
        <x:v>Needs verification.</x:v>
      </x:c>
    </x:row>
    <x:row r="26" ht="42" customHeight="1">
      <x:c r="A26" s="14" t="n">
        <x:v>25</x:v>
      </x:c>
      <x:c r="B26" s="14" t="str">
        <x:v>Jammu Region</x:v>
      </x:c>
      <x:c r="C26" s="14" t="str">
        <x:v>Jammu / J&amp;K</x:v>
      </x:c>
      <x:c r="D26" s="14" t="str">
        <x:v>WWF-India J&amp;K Chapter / Western Himalayas Conservation Programme</x:v>
      </x:c>
      <x:c r="E26" s="14" t="str">
        <x:v>International NGO programme</x:v>
      </x:c>
      <x:c r="F26" s="14" t="str">
        <x:v>Wildlife, wetlands, environmental law, green tourism</x:v>
      </x:c>
      <x:c r="G26" s="14" t="str">
        <x:v>WWF-India has worked on J&amp;K/Ladakh high-altitude wetlands, judicial/environment law orientation, green tourism, conservation publications.</x:v>
      </x:c>
      <x:c r="H26" s="14" t="str">
        <x:v>volunteer@wwfindia.net; pchandan@wwfindia.net</x:v>
      </x:c>
      <x:c r="I26" s="14" t="str">
        <x:v>+91 11 4150 4790; +91 196 2261871 (older programme contact)</x:v>
      </x:c>
      <x:c r="J26" s="14" t="str">
        <x:v>https://www.wwfindia.org/</x:v>
      </x:c>
      <x:c r="K26" s="14" t="str">
        <x:v>https://www.wwfindia.org/?27022%2FOrientation-Programme-on-Wildlife-and-Forest-Conservation-Laws-for-Judiciary=</x:v>
      </x:c>
      <x:c r="L26" s="14" t="str">
        <x:v>Official WWF pages</x:v>
      </x:c>
      <x:c r="M26" s="14" t="str">
        <x:v>Wildlife, wetlands, judicial capacity, tourism footprint</x:v>
      </x:c>
      <x:c r="N26" s="14" t="str">
        <x:v>High</x:v>
      </x:c>
      <x:c r="O26" s="14" t="str">
        <x:v>Use current WWF central contacts for routing.</x:v>
      </x:c>
    </x:row>
    <x:row r="27" ht="42" customHeight="1">
      <x:c r="A27" s="14" t="n">
        <x:v>26</x:v>
      </x:c>
      <x:c r="B27" s="14" t="str">
        <x:v>Jammu Region</x:v>
      </x:c>
      <x:c r="C27" s="14" t="str">
        <x:v>Ramban</x:v>
      </x:c>
      <x:c r="D27" s="14" t="str">
        <x:v>Civil QRT Ramban</x:v>
      </x:c>
      <x:c r="E27" s="14" t="str">
        <x:v>District-listed NGO</x:v>
      </x:c>
      <x:c r="F27" s="14" t="str">
        <x:v>Civic response, social/environmental potential</x:v>
      </x:c>
      <x:c r="G27" s="14" t="str">
        <x:v>Listed on Ramban district NGO page; potential district resilience partner.</x:v>
      </x:c>
      <x:c r="H27" s="14" t="str">
        <x:v>civilqrtramban@gmail.com</x:v>
      </x:c>
      <x:c r="I27" s="14" t="str">
        <x:v>9622347343</x:v>
      </x:c>
      <x:c r="J27" s="14" t="str">
        <x:v>https://www.civilqrtramban.com</x:v>
      </x:c>
      <x:c r="K27" s="14" t="str">
        <x:v>https://ramban.gov.in/public-utility-category/ngos/</x:v>
      </x:c>
      <x:c r="L27" s="14" t="str">
        <x:v>Official district directory</x:v>
      </x:c>
      <x:c r="M27" s="14" t="str">
        <x:v>District emergency/environment outreach</x:v>
      </x:c>
      <x:c r="N27" s="14" t="str">
        <x:v>Medium</x:v>
      </x:c>
      <x:c r="O27" s="14" t="str">
        <x:v>Verify environmental focus.</x:v>
      </x:c>
    </x:row>
    <x:row r="28" ht="42" customHeight="1">
      <x:c r="A28" s="14" t="n">
        <x:v>27</x:v>
      </x:c>
      <x:c r="B28" s="14" t="str">
        <x:v>Jammu Region</x:v>
      </x:c>
      <x:c r="C28" s="14" t="str">
        <x:v>Ramban</x:v>
      </x:c>
      <x:c r="D28" s="14" t="str">
        <x:v>Global United Peace Organisation</x:v>
      </x:c>
      <x:c r="E28" s="14" t="str">
        <x:v>District-listed NGO</x:v>
      </x:c>
      <x:c r="F28" s="14" t="str">
        <x:v>Community development / possible environment</x:v>
      </x:c>
      <x:c r="G28" s="14" t="str">
        <x:v>Listed on Ramban district NGO page.</x:v>
      </x:c>
      <x:c r="H28" s="14" t="str">
        <x:v>globalunitedpeacegupo@gmail.com</x:v>
      </x:c>
      <x:c r="I28" s="14" t="str">
        <x:v>7051397041</x:v>
      </x:c>
      <x:c r="J28" s="14" t="str">
        <x:v>Not listed</x:v>
      </x:c>
      <x:c r="K28" s="14" t="str">
        <x:v>https://ramban.gov.in/public-utility-category/ngos/</x:v>
      </x:c>
      <x:c r="L28" s="14" t="str">
        <x:v>Official district directory</x:v>
      </x:c>
      <x:c r="M28" s="14" t="str">
        <x:v>Community outreach, district action</x:v>
      </x:c>
      <x:c r="N28" s="14" t="str">
        <x:v>Low</x:v>
      </x:c>
      <x:c r="O28" s="14" t="str">
        <x:v>Verify environmental work.</x:v>
      </x:c>
    </x:row>
    <x:row r="29" ht="42" customHeight="1">
      <x:c r="A29" s="14" t="n">
        <x:v>28</x:v>
      </x:c>
      <x:c r="B29" s="14" t="str">
        <x:v>Jammu Region</x:v>
      </x:c>
      <x:c r="C29" s="14" t="str">
        <x:v>Ramban</x:v>
      </x:c>
      <x:c r="D29" s="14" t="str">
        <x:v>Nation First Trust</x:v>
      </x:c>
      <x:c r="E29" s="14" t="str">
        <x:v>District-listed NGO</x:v>
      </x:c>
      <x:c r="F29" s="14" t="str">
        <x:v>Community development / possible environment</x:v>
      </x:c>
      <x:c r="G29" s="14" t="str">
        <x:v>Listed on Ramban district NGO page.</x:v>
      </x:c>
      <x:c r="H29" s="14" t="str">
        <x:v>nationfirsttrust@gmail.com</x:v>
      </x:c>
      <x:c r="I29" s="14" t="str">
        <x:v>7889933031</x:v>
      </x:c>
      <x:c r="J29" s="14" t="str">
        <x:v>Not listed</x:v>
      </x:c>
      <x:c r="K29" s="14" t="str">
        <x:v>https://ramban.gov.in/public-utility-category/ngos/</x:v>
      </x:c>
      <x:c r="L29" s="14" t="str">
        <x:v>Official district directory</x:v>
      </x:c>
      <x:c r="M29" s="14" t="str">
        <x:v>Community outreach, district action</x:v>
      </x:c>
      <x:c r="N29" s="14" t="str">
        <x:v>Low</x:v>
      </x:c>
      <x:c r="O29" s="14" t="str">
        <x:v>Verify environmental work.</x:v>
      </x:c>
    </x:row>
    <x:row r="30" ht="42" customHeight="1">
      <x:c r="A30" s="14" t="n">
        <x:v>29</x:v>
      </x:c>
      <x:c r="B30" s="14" t="str">
        <x:v>Jammu Region</x:v>
      </x:c>
      <x:c r="C30" s="14" t="str">
        <x:v>Jammu</x:v>
      </x:c>
      <x:c r="D30" s="14" t="str">
        <x:v>Ecotourism Society of India (ESOI) with J&amp;K tourism workshop</x:v>
      </x:c>
      <x:c r="E30" s="14" t="str">
        <x:v>National NGO/professional body</x:v>
      </x:c>
      <x:c r="F30" s="14" t="str">
        <x:v>Responsible tourism, high-altitude environment</x:v>
      </x:c>
      <x:c r="G30" s="14" t="str">
        <x:v>WWF-India page notes ESOI co-organised responsible tourism workshop in Jammu supported by J&amp;K Tourism and PATA India.</x:v>
      </x:c>
      <x:c r="H30" s="14" t="str">
        <x:v>Not found</x:v>
      </x:c>
      <x:c r="I30" s="14" t="str">
        <x:v>Not found</x:v>
      </x:c>
      <x:c r="J30" s="14" t="str">
        <x:v>https://www.wwfindia.org/?5700%2FHelping-the-Indian-tourism-industry-go-green=</x:v>
      </x:c>
      <x:c r="K30" s="14" t="str">
        <x:v>https://www.wwfindia.org/?5700%2FHelping-the-Indian-tourism-industry-go-green=</x:v>
      </x:c>
      <x:c r="L30" s="14" t="str">
        <x:v>Official WWF activity reference</x:v>
      </x:c>
      <x:c r="M30" s="14" t="str">
        <x:v>Responsible tourism, tourist carrying capacity</x:v>
      </x:c>
      <x:c r="N30" s="14" t="str">
        <x:v>Medium</x:v>
      </x:c>
      <x:c r="O30" s="14" t="str">
        <x:v>National body; not Kashmir-based but relevant.</x:v>
      </x:c>
    </x:row>
    <x:row r="31" ht="42" customHeight="1">
      <x:c r="A31" s="14" t="n">
        <x:v>30</x:v>
      </x:c>
      <x:c r="B31" s="14" t="str">
        <x:v>Jammu Region</x:v>
      </x:c>
      <x:c r="C31" s="14" t="str">
        <x:v>Jammu / J&amp;K</x:v>
      </x:c>
      <x:c r="D31" s="14" t="str">
        <x:v>Centre for Environment Education (CEE) India J&amp;K programme</x:v>
      </x:c>
      <x:c r="E31" s="14" t="str">
        <x:v>National environmental education NGO</x:v>
      </x:c>
      <x:c r="F31" s="14" t="str">
        <x:v>Environmental education, school networks</x:v>
      </x:c>
      <x:c r="G31" s="14" t="str">
        <x:v>CEE page lists partners for J&amp;K and environmental education programme references.</x:v>
      </x:c>
      <x:c r="H31" s="14" t="str">
        <x:v>Not found</x:v>
      </x:c>
      <x:c r="I31" s="14" t="str">
        <x:v>Not found</x:v>
      </x:c>
      <x:c r="J31" s="14" t="str">
        <x:v>https://www.ceeindia.org/programmes/pm-h.php</x:v>
      </x:c>
      <x:c r="K31" s="14" t="str">
        <x:v>https://www.ceeindia.org/programmes/pm-h.php</x:v>
      </x:c>
      <x:c r="L31" s="14" t="str">
        <x:v>Official CEE page</x:v>
      </x:c>
      <x:c r="M31" s="14" t="str">
        <x:v>Environmental education, teacher training</x:v>
      </x:c>
      <x:c r="N31" s="14" t="str">
        <x:v>High</x:v>
      </x:c>
      <x:c r="O31" s="14" t="str">
        <x:v>Route through CEE national contact.</x:v>
      </x:c>
    </x:row>
    <x:row r="32" ht="42" customHeight="1">
      <x:c r="A32" s="14" t="n">
        <x:v>31</x:v>
      </x:c>
      <x:c r="B32" s="14" t="str">
        <x:v>Jammu Region</x:v>
      </x:c>
      <x:c r="C32" s="14" t="str">
        <x:v>Jammu / Kashmir</x:v>
      </x:c>
      <x:c r="D32" s="14" t="str">
        <x:v>CHINAR International climate awareness component</x:v>
      </x:c>
      <x:c r="E32" s="14" t="str">
        <x:v>NGO / social welfare with climate awareness</x:v>
      </x:c>
      <x:c r="F32" s="14" t="str">
        <x:v>Youth, climate awareness, community development</x:v>
      </x:c>
      <x:c r="G32" s="14" t="str">
        <x:v>CHINAR profile mentions staff experience including climate awareness initiatives; not primarily environmental but youth-reach relevant.</x:v>
      </x:c>
      <x:c r="H32" s="14" t="str">
        <x:v>Not found</x:v>
      </x:c>
      <x:c r="I32" s="14" t="str">
        <x:v>Not found</x:v>
      </x:c>
      <x:c r="J32" s="14" t="str">
        <x:v>https://www.chinarinternational.org/</x:v>
      </x:c>
      <x:c r="K32" s="14" t="str">
        <x:v>https://www.chinarinternational.org/</x:v>
      </x:c>
      <x:c r="L32" s="14" t="str">
        <x:v>Official website</x:v>
      </x:c>
      <x:c r="M32" s="14" t="str">
        <x:v>Youth climate awareness, schools/community</x:v>
      </x:c>
      <x:c r="N32" s="14" t="str">
        <x:v>Low</x:v>
      </x:c>
      <x:c r="O32" s="14" t="str">
        <x:v>Non-environment primary mandate.</x:v>
      </x:c>
    </x:row>
    <x:row r="33" ht="42" customHeight="1">
      <x:c r="A33" s="14" t="n">
        <x:v>32</x:v>
      </x:c>
      <x:c r="B33" s="14" t="str">
        <x:v>Jammu Region</x:v>
      </x:c>
      <x:c r="C33" s="14" t="str">
        <x:v>Jammu / multi-state</x:v>
      </x:c>
      <x:c r="D33" s="14" t="str">
        <x:v>Webpulse Foundation environment programme in J&amp;K pages</x:v>
      </x:c>
      <x:c r="E33" s="14" t="str">
        <x:v>NGO / external programme</x:v>
      </x:c>
      <x:c r="F33" s="14" t="str">
        <x:v>Plantation, waste reduction, water conservation</x:v>
      </x:c>
      <x:c r="G33" s="14" t="str">
        <x:v>Webpulse pages claim environmental programmes in Srinagar/Ladakh although not locally based.</x:v>
      </x:c>
      <x:c r="H33" s="14" t="str">
        <x:v>Not found</x:v>
      </x:c>
      <x:c r="I33" s="14" t="str">
        <x:v>Not found</x:v>
      </x:c>
      <x:c r="J33" s="14" t="str">
        <x:v>https://www.webpulsefoundation.org/srinagar/environment-protection.htm</x:v>
      </x:c>
      <x:c r="K33" s="14" t="str">
        <x:v>https://www.webpulsefoundation.org/srinagar/environment-protection.htm</x:v>
      </x:c>
      <x:c r="L33" s="14" t="str">
        <x:v>Self-published programme page</x:v>
      </x:c>
      <x:c r="M33" s="14" t="str">
        <x:v>Plantation, water/waste awareness</x:v>
      </x:c>
      <x:c r="N33" s="14" t="str">
        <x:v>Low</x:v>
      </x:c>
      <x:c r="O33" s="14" t="str">
        <x:v>Not Kashmir-based; verify impact.</x:v>
      </x:c>
    </x:row>
    <x:row r="34" ht="42" customHeight="1">
      <x:c r="A34" s="14" t="n">
        <x:v>33</x:v>
      </x:c>
      <x:c r="B34" s="14" t="str">
        <x:v>Jammu Region</x:v>
      </x:c>
      <x:c r="C34" s="14" t="str">
        <x:v>Jammu / Kashmir</x:v>
      </x:c>
      <x:c r="D34" s="14" t="str">
        <x:v>Give.do Jammu &amp; Kashmir NGO directory</x:v>
      </x:c>
      <x:c r="E34" s="14" t="str">
        <x:v>Directory / data source</x:v>
      </x:c>
      <x:c r="F34" s="14" t="str">
        <x:v>NGO discovery</x:v>
      </x:c>
      <x:c r="G34" s="14" t="str">
        <x:v>Give.do lists 23 NGOs headquartered in Jammu &amp; Kashmir; useful for extending registry but many are not environment-specific.</x:v>
      </x:c>
      <x:c r="H34" s="14" t="str">
        <x:v>Use platform message</x:v>
      </x:c>
      <x:c r="I34" s="14" t="str">
        <x:v>Use platform message</x:v>
      </x:c>
      <x:c r="J34" s="14" t="str">
        <x:v>https://give.do/discover/state/Jammu%20and%20Kashmir/</x:v>
      </x:c>
      <x:c r="K34" s="14" t="str">
        <x:v>https://give.do/discover/state/Jammu%20and%20Kashmir/</x:v>
      </x:c>
      <x:c r="L34" s="14" t="str">
        <x:v>Directory source</x:v>
      </x:c>
      <x:c r="M34" s="14" t="str">
        <x:v>Registry expansion, verification pipeline</x:v>
      </x:c>
      <x:c r="N34" s="14" t="str">
        <x:v>Medium</x:v>
      </x:c>
      <x:c r="O34" s="14" t="str">
        <x:v>Use as discovery source, not impact proof.</x:v>
      </x:c>
    </x:row>
    <x:row r="35" ht="42" customHeight="1">
      <x:c r="A35" s="14" t="n">
        <x:v>34</x:v>
      </x:c>
      <x:c r="B35" s="14" t="str">
        <x:v>Jammu Region</x:v>
      </x:c>
      <x:c r="C35" s="14" t="str">
        <x:v>Jammu / Kashmir</x:v>
      </x:c>
      <x:c r="D35" s="14" t="str">
        <x:v>NGOBase environment and climate J&amp;K directory</x:v>
      </x:c>
      <x:c r="E35" s="14" t="str">
        <x:v>Directory / data source</x:v>
      </x:c>
      <x:c r="F35" s="14" t="str">
        <x:v>Environment and climate NGOs</x:v>
      </x:c>
      <x:c r="G35" s="14" t="str">
        <x:v>NGOBase category page for environment and climate NGOs in J&amp;K.</x:v>
      </x:c>
      <x:c r="H35" s="14" t="str">
        <x:v>Not found</x:v>
      </x:c>
      <x:c r="I35" s="14" t="str">
        <x:v>Not found</x:v>
      </x:c>
      <x:c r="J35" s="14" t="str">
        <x:v>https://ngobase.org/stwa/IN.JK/ENC/environment-and-climate-ngos-charities-jammu-and-kashmir</x:v>
      </x:c>
      <x:c r="K35" s="14" t="str">
        <x:v>https://ngobase.org/stwa/IN.JK/ENC/environment-and-climate-ngos-charities-jammu-and-kashmir</x:v>
      </x:c>
      <x:c r="L35" s="14" t="str">
        <x:v>Directory source</x:v>
      </x:c>
      <x:c r="M35" s="14" t="str">
        <x:v>Registry expansion, verification pipeline</x:v>
      </x:c>
      <x:c r="N35" s="14" t="str">
        <x:v>Medium</x:v>
      </x:c>
      <x:c r="O35" s="14" t="str">
        <x:v>Verify rows before outreach.</x:v>
      </x:c>
    </x:row>
    <x:row r="36" ht="42" customHeight="1">
      <x:c r="A36" s="14" t="n">
        <x:v>35</x:v>
      </x:c>
      <x:c r="B36" s="14" t="str">
        <x:v>Ladakh</x:v>
      </x:c>
      <x:c r="C36" s="14" t="str">
        <x:v>Leh</x:v>
      </x:c>
      <x:c r="D36" s="14" t="str">
        <x:v>Ladakh Ecological Development Group (LEDeG)</x:v>
      </x:c>
      <x:c r="E36" s="14" t="str">
        <x:v>Grassroots NGO</x:v>
      </x:c>
      <x:c r="F36" s="14" t="str">
        <x:v>Sustainable development, water, sanitation, ecology</x:v>
      </x:c>
      <x:c r="G36" s="14" t="str">
        <x:v>FAO Mountain Partnership lists LEDeG with Ladakh focus; website describes grassroots NGO promoting ecologically and socially sustainable development.</x:v>
      </x:c>
      <x:c r="H36" s="14" t="str">
        <x:v>mail@ledeg.org; ledegdirector@gmail.com</x:v>
      </x:c>
      <x:c r="I36" s="14" t="str">
        <x:v>+91 1982 25233 / 01982253221</x:v>
      </x:c>
      <x:c r="J36" s="14" t="str">
        <x:v>https://www.ledeg.org/</x:v>
      </x:c>
      <x:c r="K36" s="14" t="str">
        <x:v>https://www.fao.org/mountain-partnership/members/detail/ladakh-ecological-development-group/en</x:v>
      </x:c>
      <x:c r="L36" s="14" t="str">
        <x:v>Official FAO/LEDeG contacts</x:v>
      </x:c>
      <x:c r="M36" s="14" t="str">
        <x:v>Sustainable villages, water, sanitation, climate, livelihoods</x:v>
      </x:c>
      <x:c r="N36" s="14" t="str">
        <x:v>High</x:v>
      </x:c>
      <x:c r="O36" s="14" t="str">
        <x:v>Core Ladakh environmental NGO.</x:v>
      </x:c>
    </x:row>
    <x:row r="37" ht="42" customHeight="1">
      <x:c r="A37" s="14" t="n">
        <x:v>36</x:v>
      </x:c>
      <x:c r="B37" s="14" t="str">
        <x:v>Ladakh</x:v>
      </x:c>
      <x:c r="C37" s="14" t="str">
        <x:v>Leh</x:v>
      </x:c>
      <x:c r="D37" s="14" t="str">
        <x:v>Snow Leopard Conservancy India Trust (SLC-IT)</x:v>
      </x:c>
      <x:c r="E37" s="14" t="str">
        <x:v>Conservation NGO</x:v>
      </x:c>
      <x:c r="F37" s="14" t="str">
        <x:v>Snow leopard, wildlife, community conservation</x:v>
      </x:c>
      <x:c r="G37" s="14" t="str">
        <x:v>Official contact page lists SLC-IT; works on snow leopard conservation and community-based initiatives in Ladakh.</x:v>
      </x:c>
      <x:c r="H37" s="14" t="str">
        <x:v>shanladakh@gmail.com</x:v>
      </x:c>
      <x:c r="I37" s="14" t="str">
        <x:v>01982-257953</x:v>
      </x:c>
      <x:c r="J37" s="14" t="str">
        <x:v>https://snowleopardindia.org/</x:v>
      </x:c>
      <x:c r="K37" s="14" t="str">
        <x:v>https://snowleopardindia.org/contactus.php</x:v>
      </x:c>
      <x:c r="L37" s="14" t="str">
        <x:v>Official contact page</x:v>
      </x:c>
      <x:c r="M37" s="14" t="str">
        <x:v>Wildlife conservation, human-wildlife conflict, community conservation</x:v>
      </x:c>
      <x:c r="N37" s="14" t="str">
        <x:v>High</x:v>
      </x:c>
      <x:c r="O37" s="14" t="str">
        <x:v>Core wildlife conservation stakeholder.</x:v>
      </x:c>
    </x:row>
    <x:row r="38" ht="42" customHeight="1">
      <x:c r="A38" s="14" t="n">
        <x:v>37</x:v>
      </x:c>
      <x:c r="B38" s="14" t="str">
        <x:v>Ladakh</x:v>
      </x:c>
      <x:c r="C38" s="14" t="str">
        <x:v>Leh / Phey</x:v>
      </x:c>
      <x:c r="D38" s="14" t="str">
        <x:v>SECMOL</x:v>
      </x:c>
      <x:c r="E38" s="14" t="str">
        <x:v>Education movement / eco-campus</x:v>
      </x:c>
      <x:c r="F38" s="14" t="str">
        <x:v>Eco-friendly education, solar, natural building</x:v>
      </x:c>
      <x:c r="G38" s="14" t="str">
        <x:v>Official site describes eco-friendly campus and educational movement; contact page lists email and office phone.</x:v>
      </x:c>
      <x:c r="H38" s="14" t="str">
        <x:v>secmoloffice@gmail.com</x:v>
      </x:c>
      <x:c r="I38" s="14" t="str">
        <x:v>01982-252421</x:v>
      </x:c>
      <x:c r="J38" s="14" t="str">
        <x:v>https://secmol.org/</x:v>
      </x:c>
      <x:c r="K38" s="14" t="str">
        <x:v>https://secmol.org/contact/</x:v>
      </x:c>
      <x:c r="L38" s="14" t="str">
        <x:v>Official contact page</x:v>
      </x:c>
      <x:c r="M38" s="14" t="str">
        <x:v>Eco-education, youth leadership, solar/natural building</x:v>
      </x:c>
      <x:c r="N38" s="14" t="str">
        <x:v>High</x:v>
      </x:c>
      <x:c r="O38" s="14" t="str">
        <x:v>High value education/environment partner.</x:v>
      </x:c>
    </x:row>
    <x:row r="39" ht="42" customHeight="1">
      <x:c r="A39" s="14" t="n">
        <x:v>38</x:v>
      </x:c>
      <x:c r="B39" s="14" t="str">
        <x:v>Ladakh</x:v>
      </x:c>
      <x:c r="C39" s="14" t="str">
        <x:v>Leh / Himalayan region</x:v>
      </x:c>
      <x:c r="D39" s="14" t="str">
        <x:v>Himalayan Institute of Alternatives Ladakh (HIAL)</x:v>
      </x:c>
      <x:c r="E39" s="14" t="str">
        <x:v>Alternative institute / sustainability innovator</x:v>
      </x:c>
      <x:c r="F39" s="14" t="str">
        <x:v>Mountain development, carbon-neutral campus, ice stupas, education</x:v>
      </x:c>
      <x:c r="G39" s="14" t="str">
        <x:v>Official site and WeAdapt describe HIAL as alternative university tackling mountain ecosystem issues; public posts list study email/phones.</x:v>
      </x:c>
      <x:c r="H39" s="14" t="str">
        <x:v>study@hial.edu.in; pshconference@hial.edu.in</x:v>
      </x:c>
      <x:c r="I39" s="14" t="str">
        <x:v>+91 78895 66457; +91 70519 92140</x:v>
      </x:c>
      <x:c r="J39" s="14" t="str">
        <x:v>https://www.hial.edu.in/</x:v>
      </x:c>
      <x:c r="K39" s="14" t="str">
        <x:v>https://weadapt.org/organisation/hial/</x:v>
      </x:c>
      <x:c r="L39" s="14" t="str">
        <x:v>Official/weADAPT/social contacts</x:v>
      </x:c>
      <x:c r="M39" s="14" t="str">
        <x:v>Mountain innovation, climate adaptation, youth, ice stupas</x:v>
      </x:c>
      <x:c r="N39" s="14" t="str">
        <x:v>High</x:v>
      </x:c>
      <x:c r="O39" s="14" t="str">
        <x:v>Not NGO only; research/innovation institution.</x:v>
      </x:c>
    </x:row>
    <x:row r="40" ht="42" customHeight="1">
      <x:c r="A40" s="14" t="n">
        <x:v>39</x:v>
      </x:c>
      <x:c r="B40" s="14" t="str">
        <x:v>Ladakh</x:v>
      </x:c>
      <x:c r="C40" s="14" t="str">
        <x:v>Leh</x:v>
      </x:c>
      <x:c r="D40" s="14" t="str">
        <x:v>Women Alliance of Ladakh (WAL)</x:v>
      </x:c>
      <x:c r="E40" s="14" t="str">
        <x:v>Women-led NGO</x:v>
      </x:c>
      <x:c r="F40" s="14" t="str">
        <x:v>Sustainable rural development, agriculture, culture</x:v>
      </x:c>
      <x:c r="G40" s="14" t="str">
        <x:v>Reach Ladakh directory says WAL established in 1991 with goals of rural women status and strengthening local culture/agriculture, sustainable development.</x:v>
      </x:c>
      <x:c r="H40" s="14" t="str">
        <x:v>Not found</x:v>
      </x:c>
      <x:c r="I40" s="14" t="str">
        <x:v>91-1982-250293</x:v>
      </x:c>
      <x:c r="J40" s="14" t="str">
        <x:v>Directory listing</x:v>
      </x:c>
      <x:c r="K40" s="14" t="str">
        <x:v>https://www.reachladakh.com/institutions/non-governmental-organisations</x:v>
      </x:c>
      <x:c r="L40" s="14" t="str">
        <x:v>Local directory</x:v>
      </x:c>
      <x:c r="M40" s="14" t="str">
        <x:v>Women-led sustainable agriculture, rural development</x:v>
      </x:c>
      <x:c r="N40" s="14" t="str">
        <x:v>High</x:v>
      </x:c>
      <x:c r="O40" s="14" t="str">
        <x:v>Needs updated email.</x:v>
      </x:c>
    </x:row>
    <x:row r="41" ht="42" customHeight="1">
      <x:c r="A41" s="14" t="n">
        <x:v>40</x:v>
      </x:c>
      <x:c r="B41" s="14" t="str">
        <x:v>Ladakh</x:v>
      </x:c>
      <x:c r="C41" s="14" t="str">
        <x:v>Leh</x:v>
      </x:c>
      <x:c r="D41" s="14" t="str">
        <x:v>WWF-India Field Office Leh / High Altitude Wetlands Programme</x:v>
      </x:c>
      <x:c r="E41" s="14" t="str">
        <x:v>International NGO programme</x:v>
      </x:c>
      <x:c r="F41" s="14" t="str">
        <x:v>High-altitude wetlands, black-necked crane, responsible tourism</x:v>
      </x:c>
      <x:c r="G41" s="14" t="str">
        <x:v>Reach Ladakh directory and WWF pages reference WWF-India field work in Leh and high-altitude wetland conservation.</x:v>
      </x:c>
      <x:c r="H41" s="14" t="str">
        <x:v>pchandan@wwfindia.net</x:v>
      </x:c>
      <x:c r="I41" s="14" t="str">
        <x:v>+91 196 2261871 (programme contact from WWF page)</x:v>
      </x:c>
      <x:c r="J41" s="14" t="str">
        <x:v>https://www.wwfindia.org/</x:v>
      </x:c>
      <x:c r="K41" s="14" t="str">
        <x:v>https://www.wwfindia.org/?9780%2FMigratory-Route-for-Bar-headed-Goose-Charted-through-Rare-Sighting-at-Tsokar-in-Ladakh=</x:v>
      </x:c>
      <x:c r="L41" s="14" t="str">
        <x:v>Official WWF page</x:v>
      </x:c>
      <x:c r="M41" s="14" t="str">
        <x:v>Wetlands, migratory birds, high-altitude conservation</x:v>
      </x:c>
      <x:c r="N41" s="14" t="str">
        <x:v>High</x:v>
      </x:c>
      <x:c r="O41" s="14" t="str">
        <x:v>Current office contacts may differ.</x:v>
      </x:c>
    </x:row>
    <x:row r="42" ht="42" customHeight="1">
      <x:c r="A42" s="14" t="n">
        <x:v>41</x:v>
      </x:c>
      <x:c r="B42" s="14" t="str">
        <x:v>Ladakh</x:v>
      </x:c>
      <x:c r="C42" s="14" t="str">
        <x:v>Leh / Changthang</x:v>
      </x:c>
      <x:c r="D42" s="14" t="str">
        <x:v>Nature Conservation Foundation (NCF) High Altitudes Programme</x:v>
      </x:c>
      <x:c r="E42" s="14" t="str">
        <x:v>Conservation NGO / research</x:v>
      </x:c>
      <x:c r="F42" s="14" t="str">
        <x:v>Snow leopard, high-altitude ecology, community conservation</x:v>
      </x:c>
      <x:c r="G42" s="14" t="str">
        <x:v>Snow Leopard Trust India page says it partners with NCF for snow leopard conservation; NCF high-altitudes contact page available.</x:v>
      </x:c>
      <x:c r="H42" s="14" t="str">
        <x:v>smita@ncf-india.org</x:v>
      </x:c>
      <x:c r="I42" s="14" t="str">
        <x:v>Not found</x:v>
      </x:c>
      <x:c r="J42" s="14" t="str">
        <x:v>https://www.ncf-india.org/high-altitudes</x:v>
      </x:c>
      <x:c r="K42" s="14" t="str">
        <x:v>https://snowleopard.org/our-work/where-we-work/india/</x:v>
      </x:c>
      <x:c r="L42" s="14" t="str">
        <x:v>Partner/official page</x:v>
      </x:c>
      <x:c r="M42" s="14" t="str">
        <x:v>High-altitude wildlife, conflict, pastoralist systems</x:v>
      </x:c>
      <x:c r="N42" s="14" t="str">
        <x:v>High</x:v>
      </x:c>
      <x:c r="O42" s="14" t="str">
        <x:v>National NGO with Ladakh work.</x:v>
      </x:c>
    </x:row>
    <x:row r="43" ht="42" customHeight="1">
      <x:c r="A43" s="14" t="n">
        <x:v>42</x:v>
      </x:c>
      <x:c r="B43" s="14" t="str">
        <x:v>Ladakh</x:v>
      </x:c>
      <x:c r="C43" s="14" t="str">
        <x:v>Leh / Kargil</x:v>
      </x:c>
      <x:c r="D43" s="14" t="str">
        <x:v>Sustainable Ladakh Initiative Foundation</x:v>
      </x:c>
      <x:c r="E43" s="14" t="str">
        <x:v>Foundation / campaign platform</x:v>
      </x:c>
      <x:c r="F43" s="14" t="str">
        <x:v>Environmental conservation, renewable energy, culture</x:v>
      </x:c>
      <x:c r="G43" s="14" t="str">
        <x:v>Public site states focus on environmental conservation, renewable energy and preserving Ladakh culture.</x:v>
      </x:c>
      <x:c r="H43" s="14" t="str">
        <x:v>Not found</x:v>
      </x:c>
      <x:c r="I43" s="14" t="str">
        <x:v>Not found</x:v>
      </x:c>
      <x:c r="J43" s="14" t="str">
        <x:v>https://sustainableladakh.org/programs/</x:v>
      </x:c>
      <x:c r="K43" s="14" t="str">
        <x:v>https://sustainableladakh.org/programs/</x:v>
      </x:c>
      <x:c r="L43" s="14" t="str">
        <x:v>Self-published programme page</x:v>
      </x:c>
      <x:c r="M43" s="14" t="str">
        <x:v>Renewable energy, public campaigns</x:v>
      </x:c>
      <x:c r="N43" s="14" t="str">
        <x:v>Medium</x:v>
      </x:c>
      <x:c r="O43" s="14" t="str">
        <x:v>Verify registration/contact.</x:v>
      </x:c>
    </x:row>
    <x:row r="44" ht="42" customHeight="1">
      <x:c r="A44" s="14" t="n">
        <x:v>43</x:v>
      </x:c>
      <x:c r="B44" s="14" t="str">
        <x:v>Ladakh</x:v>
      </x:c>
      <x:c r="C44" s="14" t="str">
        <x:v>Leh</x:v>
      </x:c>
      <x:c r="D44" s="14" t="str">
        <x:v>Local Futures / Ladakh Project legacy</x:v>
      </x:c>
      <x:c r="E44" s="14" t="str">
        <x:v>International NGO / localization movement</x:v>
      </x:c>
      <x:c r="F44" s="14" t="str">
        <x:v>Local food, sustainability, culture</x:v>
      </x:c>
      <x:c r="G44" s="14" t="str">
        <x:v>Long-running localization and Ladakh sustainability movement linked to Helena Norberg-Hodge; useful for policy dialogue.</x:v>
      </x:c>
      <x:c r="H44" s="14" t="str">
        <x:v>Not found</x:v>
      </x:c>
      <x:c r="I44" s="14" t="str">
        <x:v>Not found</x:v>
      </x:c>
      <x:c r="J44" s="14" t="str">
        <x:v>https://www.localfutures.org/</x:v>
      </x:c>
      <x:c r="K44" s="14" t="str">
        <x:v>https://www.localfutures.org/</x:v>
      </x:c>
      <x:c r="L44" s="14" t="str">
        <x:v>Known organization website</x:v>
      </x:c>
      <x:c r="M44" s="14" t="str">
        <x:v>Localization, food systems, sustainable development</x:v>
      </x:c>
      <x:c r="N44" s="14" t="str">
        <x:v>Medium</x:v>
      </x:c>
      <x:c r="O44" s="14" t="str">
        <x:v>Not locally headquartered; influential history.</x:v>
      </x:c>
    </x:row>
    <x:row r="45" ht="42" customHeight="1">
      <x:c r="A45" s="14" t="n">
        <x:v>44</x:v>
      </x:c>
      <x:c r="B45" s="14" t="str">
        <x:v>Ladakh</x:v>
      </x:c>
      <x:c r="C45" s="14" t="str">
        <x:v>Leh / Sham Valley</x:v>
      </x:c>
      <x:c r="D45" s="14" t="str">
        <x:v>Himalayan Homestays / SLC-IT community conservation</x:v>
      </x:c>
      <x:c r="E45" s="14" t="str">
        <x:v>Community conservation enterprise</x:v>
      </x:c>
      <x:c r="F45" s="14" t="str">
        <x:v>Snow leopard conservation, community livelihoods</x:v>
      </x:c>
      <x:c r="G45" s="14" t="str">
        <x:v>Associated with SLC-IT snow leopard conservation and homestay model in public articles.</x:v>
      </x:c>
      <x:c r="H45" s="14" t="str">
        <x:v>shanladakh@gmail.com</x:v>
      </x:c>
      <x:c r="I45" s="14" t="str">
        <x:v>01982-257953</x:v>
      </x:c>
      <x:c r="J45" s="14" t="str">
        <x:v>http://www.himalayan-homestays.com/</x:v>
      </x:c>
      <x:c r="K45" s="14" t="str">
        <x:v>https://thebetterindia.com/345716/snow-leopard-conservancy-india-trust-tsewang-namgail-himalayan-homestays-ladakh/</x:v>
      </x:c>
      <x:c r="L45" s="14" t="str">
        <x:v>Media + SLC-IT official contacts</x:v>
      </x:c>
      <x:c r="M45" s="14" t="str">
        <x:v>Eco-tourism, wildlife coexistence, livelihoods</x:v>
      </x:c>
      <x:c r="N45" s="14" t="str">
        <x:v>High</x:v>
      </x:c>
      <x:c r="O45" s="14" t="str">
        <x:v>Route via SLC-IT.</x:v>
      </x:c>
    </x:row>
    <x:row r="46" ht="42" customHeight="1">
      <x:c r="A46" s="14" t="n">
        <x:v>45</x:v>
      </x:c>
      <x:c r="B46" s="14" t="str">
        <x:v>Ladakh</x:v>
      </x:c>
      <x:c r="C46" s="14" t="str">
        <x:v>Leh</x:v>
      </x:c>
      <x:c r="D46" s="14" t="str">
        <x:v>BIRDS Club / Ladakh birding networks</x:v>
      </x:c>
      <x:c r="E46" s="14" t="str">
        <x:v>Citizen science group / potential NGO</x:v>
      </x:c>
      <x:c r="F46" s="14" t="str">
        <x:v>Bird conservation, wetlands</x:v>
      </x:c>
      <x:c r="G46" s="14" t="str">
        <x:v>Potential citizen-science stakeholder for black-necked crane and bird monitoring; needs verification.</x:v>
      </x:c>
      <x:c r="H46" s="14" t="str">
        <x:v>Not found</x:v>
      </x:c>
      <x:c r="I46" s="14" t="str">
        <x:v>Not found</x:v>
      </x:c>
      <x:c r="J46" s="14" t="str">
        <x:v>Public birding networks</x:v>
      </x:c>
      <x:c r="K46" s="14" t="str">
        <x:v>https://www.wwfindia.org/?9900%2FState-bird-Black-necked-Crane-and-Pir-Panjal-high-altitude-wetlands--get-special-attention-at-the-Third-Meeting-of-the-State-Board-for-Wildlife-Jammu--Kashmir=</x:v>
      </x:c>
      <x:c r="L46" s="14" t="str">
        <x:v>Thematic source only</x:v>
      </x:c>
      <x:c r="M46" s="14" t="str">
        <x:v>Bird monitoring, wetland health</x:v>
      </x:c>
      <x:c r="N46" s="14" t="str">
        <x:v>Medium</x:v>
      </x:c>
      <x:c r="O46" s="14" t="str">
        <x:v>Placeholder for verification.</x:v>
      </x:c>
    </x:row>
    <x:row r="47" ht="42" customHeight="1">
      <x:c r="A47" s="14" t="n">
        <x:v>46</x:v>
      </x:c>
      <x:c r="B47" s="14" t="str">
        <x:v>Ladakh</x:v>
      </x:c>
      <x:c r="C47" s="14" t="str">
        <x:v>Leh</x:v>
      </x:c>
      <x:c r="D47" s="14" t="str">
        <x:v>Root Ladakh / eco-cultural travel networks</x:v>
      </x:c>
      <x:c r="E47" s="14" t="str">
        <x:v>Social enterprise / sustainability candidate</x:v>
      </x:c>
      <x:c r="F47" s="14" t="str">
        <x:v>Responsible tourism, local livelihoods</x:v>
      </x:c>
      <x:c r="G47" s="14" t="str">
        <x:v>Potential responsible tourism and sustainability partner; verify active status and environmental work.</x:v>
      </x:c>
      <x:c r="H47" s="14" t="str">
        <x:v>Not found</x:v>
      </x:c>
      <x:c r="I47" s="14" t="str">
        <x:v>Not found</x:v>
      </x:c>
      <x:c r="J47" s="14" t="str">
        <x:v>Public web search needed</x:v>
      </x:c>
      <x:c r="K47" s="14" t="str">
        <x:v>https://www.wwfindia.org/?5700%2FHelping-the-Indian-tourism-industry-go-green=</x:v>
      </x:c>
      <x:c r="L47" s="14" t="str">
        <x:v>Thematic source only</x:v>
      </x:c>
      <x:c r="M47" s="14" t="str">
        <x:v>Tourism footprint, local livelihoods</x:v>
      </x:c>
      <x:c r="N47" s="14" t="str">
        <x:v>Low</x:v>
      </x:c>
      <x:c r="O47" s="14" t="str">
        <x:v>Lead not verified.</x:v>
      </x:c>
    </x:row>
    <x:row r="48" ht="42" customHeight="1">
      <x:c r="A48" s="14" t="n">
        <x:v>47</x:v>
      </x:c>
      <x:c r="B48" s="14" t="str">
        <x:v>Ladakh</x:v>
      </x:c>
      <x:c r="C48" s="14" t="str">
        <x:v>Kargil</x:v>
      </x:c>
      <x:c r="D48" s="14" t="str">
        <x:v>Kargil local environmental/youth collectives</x:v>
      </x:c>
      <x:c r="E48" s="14" t="str">
        <x:v>Youth/citizen collectives</x:v>
      </x:c>
      <x:c r="F48" s="14" t="str">
        <x:v>Waste, water, plantation</x:v>
      </x:c>
      <x:c r="G48" s="14" t="str">
        <x:v>Candidate cluster for district-level mapping; official contacts not found in current sweep.</x:v>
      </x:c>
      <x:c r="H48" s="14" t="str">
        <x:v>Not found</x:v>
      </x:c>
      <x:c r="I48" s="14" t="str">
        <x:v>Not found</x:v>
      </x:c>
      <x:c r="J48" s="14" t="str">
        <x:v>To be verified</x:v>
      </x:c>
      <x:c r="K48" s="14" t="str">
        <x:v>https://ladakh.gov.in/chief-secretary-chairs-meeting-with-ngos-on-forests-wildlife-and-environmental-conservation-in-ladakh/</x:v>
      </x:c>
      <x:c r="L48" s="14" t="str">
        <x:v>Government meeting indicates prominent NGOs in Ladakh</x:v>
      </x:c>
      <x:c r="M48" s="14" t="str">
        <x:v>District campaigns, water/waste</x:v>
      </x:c>
      <x:c r="N48" s="14" t="str">
        <x:v>Medium</x:v>
      </x:c>
      <x:c r="O48" s="14" t="str">
        <x:v>Needs district-level mining.</x:v>
      </x:c>
    </x:row>
    <x:row r="49" ht="42" customHeight="1">
      <x:c r="A49" s="14" t="n">
        <x:v>48</x:v>
      </x:c>
      <x:c r="B49" s="14" t="str">
        <x:v>Ladakh</x:v>
      </x:c>
      <x:c r="C49" s="14" t="str">
        <x:v>Leh / UT-wide</x:v>
      </x:c>
      <x:c r="D49" s="14" t="str">
        <x:v>Chief Secretary Ladakh NGO environment meeting stakeholder set</x:v>
      </x:c>
      <x:c r="E49" s="14" t="str">
        <x:v>Government-convened NGO cluster</x:v>
      </x:c>
      <x:c r="F49" s="14" t="str">
        <x:v>Forests, wildlife, environmental sustainability</x:v>
      </x:c>
      <x:c r="G49" s="14" t="str">
        <x:v>Ladakh administration reported meeting with prominent NGOs working in forest conservation, wildlife protection and environmental sustainability.</x:v>
      </x:c>
      <x:c r="H49" s="14" t="str">
        <x:v>Not found</x:v>
      </x:c>
      <x:c r="I49" s="14" t="str">
        <x:v>Not found</x:v>
      </x:c>
      <x:c r="J49" s="14" t="str">
        <x:v>https://ladakh.gov.in/chief-secretary-chairs-meeting-with-ngos-on-forests-wildlife-and-environmental-conservation-in-ladakh/</x:v>
      </x:c>
      <x:c r="K49" s="14" t="str">
        <x:v>https://ladakh.gov.in/chief-secretary-chairs-meeting-with-ngos-on-forests-wildlife-and-environmental-conservation-in-ladakh/</x:v>
      </x:c>
      <x:c r="L49" s="14" t="str">
        <x:v>Official government source</x:v>
      </x:c>
      <x:c r="M49" s="14" t="str">
        <x:v>Registry validation, official convening list</x:v>
      </x:c>
      <x:c r="N49" s="14" t="str">
        <x:v>High</x:v>
      </x:c>
      <x:c r="O49" s="14" t="str">
        <x:v>Use page/photos to identify more groups manually.</x:v>
      </x:c>
    </x:row>
    <x:row r="50" ht="42" customHeight="1">
      <x:c r="A50" s="14" t="n">
        <x:v>49</x:v>
      </x:c>
      <x:c r="B50" s="14" t="str">
        <x:v>Ladakh</x:v>
      </x:c>
      <x:c r="C50" s="14" t="str">
        <x:v>Leh</x:v>
      </x:c>
      <x:c r="D50" s="14" t="str">
        <x:v>Ladakh Arts and Media Organisation (LAMO) environmental dialogue candidate</x:v>
      </x:c>
      <x:c r="E50" s="14" t="str">
        <x:v>Cultural NGO / knowledge platform</x:v>
      </x:c>
      <x:c r="F50" s="14" t="str">
        <x:v>Culture, ecology, public dialogue</x:v>
      </x:c>
      <x:c r="G50" s="14" t="str">
        <x:v>Potential partner for environmental storytelling and public programming, especially culture-ecology interface.</x:v>
      </x:c>
      <x:c r="H50" s="14" t="str">
        <x:v>Not found</x:v>
      </x:c>
      <x:c r="I50" s="14" t="str">
        <x:v>Not found</x:v>
      </x:c>
      <x:c r="J50" s="14" t="str">
        <x:v>Public site/search required</x:v>
      </x:c>
      <x:c r="K50" s="14" t="str">
        <x:v>https://www.reachladakh.com/institutions/non-governmental-organisations</x:v>
      </x:c>
      <x:c r="L50" s="14" t="str">
        <x:v>Directory lead only</x:v>
      </x:c>
      <x:c r="M50" s="14" t="str">
        <x:v>Eco-cultural communication</x:v>
      </x:c>
      <x:c r="N50" s="14" t="str">
        <x:v>Low</x:v>
      </x:c>
      <x:c r="O50" s="14" t="str">
        <x:v>Needs verification.</x:v>
      </x:c>
    </x:row>
    <x:row r="51" ht="42" customHeight="1">
      <x:c r="A51" s="14" t="n">
        <x:v>50</x:v>
      </x:c>
      <x:c r="B51" s="14" t="str">
        <x:v>Ladakh</x:v>
      </x:c>
      <x:c r="C51" s="14" t="str">
        <x:v>Leh</x:v>
      </x:c>
      <x:c r="D51" s="14" t="str">
        <x:v>Go Green Go Organic Ladakh / organic farming networks</x:v>
      </x:c>
      <x:c r="E51" s="14" t="str">
        <x:v>Community/agriculture networks</x:v>
      </x:c>
      <x:c r="F51" s="14" t="str">
        <x:v>Organic agriculture, soil, water</x:v>
      </x:c>
      <x:c r="G51" s="14" t="str">
        <x:v>Potential agro-ecological partner; requires verification.</x:v>
      </x:c>
      <x:c r="H51" s="14" t="str">
        <x:v>Not found</x:v>
      </x:c>
      <x:c r="I51" s="14" t="str">
        <x:v>Not found</x:v>
      </x:c>
      <x:c r="J51" s="14" t="str">
        <x:v>Public social search required</x:v>
      </x:c>
      <x:c r="K51" s="14" t="str">
        <x:v>https://www.reachladakh.com/institutions/non-governmental-organisations</x:v>
      </x:c>
      <x:c r="L51" s="14" t="str">
        <x:v>Directory lead only</x:v>
      </x:c>
      <x:c r="M51" s="14" t="str">
        <x:v>Organic farming, water-efficient agriculture</x:v>
      </x:c>
      <x:c r="N51" s="14" t="str">
        <x:v>Low</x:v>
      </x:c>
      <x:c r="O51" s="14" t="str">
        <x:v>Needs verification.</x:v>
      </x:c>
    </x:row>
    <x:row r="52" ht="42" customHeight="1">
      <x:c r="A52" s="14" t="n">
        <x:v>51</x:v>
      </x:c>
      <x:c r="B52" s="14" t="str">
        <x:v>Ladakh</x:v>
      </x:c>
      <x:c r="C52" s="14" t="str">
        <x:v>Leh</x:v>
      </x:c>
      <x:c r="D52" s="14" t="str">
        <x:v>Buddhist monasteries environmental stewardship network</x:v>
      </x:c>
      <x:c r="E52" s="14" t="str">
        <x:v>Faith/community institutions</x:v>
      </x:c>
      <x:c r="F52" s="14" t="str">
        <x:v>Water, waste, sacred landscapes</x:v>
      </x:c>
      <x:c r="G52" s="14" t="str">
        <x:v>Potential high-impact stakeholder for community norms; not a single NGO.</x:v>
      </x:c>
      <x:c r="H52" s="14" t="str">
        <x:v>Not found</x:v>
      </x:c>
      <x:c r="I52" s="14" t="str">
        <x:v>Not found</x:v>
      </x:c>
      <x:c r="J52" s="14" t="str">
        <x:v>Not applicable</x:v>
      </x:c>
      <x:c r="K52" s="14" t="str">
        <x:v>https://www.wwfindia.org/?5700%2FHelping-the-Indian-tourism-industry-go-green=</x:v>
      </x:c>
      <x:c r="L52" s="14" t="str">
        <x:v>Thematic source only</x:v>
      </x:c>
      <x:c r="M52" s="14" t="str">
        <x:v>Community norms, waste reduction, sacred ecology</x:v>
      </x:c>
      <x:c r="N52" s="14" t="str">
        <x:v>Medium</x:v>
      </x:c>
      <x:c r="O52" s="14" t="str">
        <x:v>Map monastery-specific contacts later.</x:v>
      </x:c>
    </x:row>
    <x:row r="53" ht="42" customHeight="1">
      <x:c r="A53" s="14" t="n">
        <x:v>52</x:v>
      </x:c>
      <x:c r="B53" s="14" t="str">
        <x:v>Ladakh</x:v>
      </x:c>
      <x:c r="C53" s="14" t="str">
        <x:v>Leh / Changthang</x:v>
      </x:c>
      <x:c r="D53" s="14" t="str">
        <x:v>Changpa pastoralist conservation committees</x:v>
      </x:c>
      <x:c r="E53" s="14" t="str">
        <x:v>Community institutions</x:v>
      </x:c>
      <x:c r="F53" s="14" t="str">
        <x:v>Pastoralism, wetlands, black-necked crane</x:v>
      </x:c>
      <x:c r="G53" s="14" t="str">
        <x:v>Relevant to high-altitude wetlands, pastoral livelihoods, and wildlife conflict; network rather than NGO.</x:v>
      </x:c>
      <x:c r="H53" s="14" t="str">
        <x:v>Not found</x:v>
      </x:c>
      <x:c r="I53" s="14" t="str">
        <x:v>Not found</x:v>
      </x:c>
      <x:c r="J53" s="14" t="str">
        <x:v>Not applicable</x:v>
      </x:c>
      <x:c r="K53" s="14" t="str">
        <x:v>https://www.wwfindia.org/?4040%2FEnvironment-Minister=</x:v>
      </x:c>
      <x:c r="L53" s="14" t="str">
        <x:v>WWF thematic reference</x:v>
      </x:c>
      <x:c r="M53" s="14" t="str">
        <x:v>Pastoralism, wetlands, climate adaptation</x:v>
      </x:c>
      <x:c r="N53" s="14" t="str">
        <x:v>High</x:v>
      </x:c>
      <x:c r="O53" s="14" t="str">
        <x:v>Important community stakeholder group.</x:v>
      </x:c>
    </x:row>
    <x:row r="54" ht="42" customHeight="1">
      <x:c r="A54" s="14" t="n">
        <x:v>53</x:v>
      </x:c>
      <x:c r="B54" s="14" t="str">
        <x:v>Ladakh</x:v>
      </x:c>
      <x:c r="C54" s="14" t="str">
        <x:v>Leh</x:v>
      </x:c>
      <x:c r="D54" s="14" t="str">
        <x:v>Himalayan Brown Bear / wildlife conflict groups in Ladakh</x:v>
      </x:c>
      <x:c r="E54" s="14" t="str">
        <x:v>Conservation network candidate</x:v>
      </x:c>
      <x:c r="F54" s="14" t="str">
        <x:v>Human-wildlife conflict</x:v>
      </x:c>
      <x:c r="G54" s="14" t="str">
        <x:v>Potential wildlife conservation stakeholder for bear/snow leopard conflict.</x:v>
      </x:c>
      <x:c r="H54" s="14" t="str">
        <x:v>Not found</x:v>
      </x:c>
      <x:c r="I54" s="14" t="str">
        <x:v>Not found</x:v>
      </x:c>
      <x:c r="J54" s="14" t="str">
        <x:v>To be verified</x:v>
      </x:c>
      <x:c r="K54" s="14" t="str">
        <x:v>https://www.wwfindia.org/?15261%2FSnow-leopard-breaks-into-cattle-pen-in-Ladakh-village-incident-highlights-the-need-for-predator-proof-corrals=</x:v>
      </x:c>
      <x:c r="L54" s="14" t="str">
        <x:v>Thematic WWF source</x:v>
      </x:c>
      <x:c r="M54" s="14" t="str">
        <x:v>Wildlife conflict mitigation</x:v>
      </x:c>
      <x:c r="N54" s="14" t="str">
        <x:v>Medium</x:v>
      </x:c>
      <x:c r="O54" s="14" t="str">
        <x:v>Verify local organizations.</x:v>
      </x:c>
    </x:row>
    <x:row r="55" ht="42" customHeight="1">
      <x:c r="A55" s="14" t="n">
        <x:v>54</x:v>
      </x:c>
      <x:c r="B55" s="14" t="str">
        <x:v>Azad Kashmir</x:v>
      </x:c>
      <x:c r="C55" s="14" t="str">
        <x:v>Muzaffarabad / AJK-wide</x:v>
      </x:c>
      <x:c r="D55" s="14" t="str">
        <x:v>Environmental Protection Agency AJK</x:v>
      </x:c>
      <x:c r="E55" s="14" t="str">
        <x:v>Government environment agency</x:v>
      </x:c>
      <x:c r="F55" s="14" t="str">
        <x:v>EIA, regulation, environmental protection</x:v>
      </x:c>
      <x:c r="G55" s="14" t="str">
        <x:v>Not an NGO but essential registry node for governance interface in AJK.</x:v>
      </x:c>
      <x:c r="H55" s="14" t="str">
        <x:v>Not found</x:v>
      </x:c>
      <x:c r="I55" s="14" t="str">
        <x:v>Not found</x:v>
      </x:c>
      <x:c r="J55" s="14" t="str">
        <x:v>Search official AJK EPA</x:v>
      </x:c>
      <x:c r="K55" s="14" t="str">
        <x:v>https://ajk.gov.pk/</x:v>
      </x:c>
      <x:c r="L55" s="14" t="str">
        <x:v>Government stakeholder lead</x:v>
      </x:c>
      <x:c r="M55" s="14" t="str">
        <x:v>Regulatory data, EIA, compliance</x:v>
      </x:c>
      <x:c r="N55" s="14" t="str">
        <x:v>High</x:v>
      </x:c>
      <x:c r="O55" s="14" t="str">
        <x:v>Public contact needs verification.</x:v>
      </x:c>
    </x:row>
    <x:row r="56" ht="42" customHeight="1">
      <x:c r="A56" s="14" t="n">
        <x:v>55</x:v>
      </x:c>
      <x:c r="B56" s="14" t="str">
        <x:v>Azad Kashmir</x:v>
      </x:c>
      <x:c r="C56" s="14" t="str">
        <x:v>AJK-wide</x:v>
      </x:c>
      <x:c r="D56" s="14" t="str">
        <x:v>AJK Rural Support Programme (AJKRSP)</x:v>
      </x:c>
      <x:c r="E56" s="14" t="str">
        <x:v>Development NGO / rural support</x:v>
      </x:c>
      <x:c r="F56" s="14" t="str">
        <x:v>Natural resource management, livelihoods, community development</x:v>
      </x:c>
      <x:c r="G56" s="14" t="str">
        <x:v>Likely rural development and community organization; potential NRM link.</x:v>
      </x:c>
      <x:c r="H56" s="14" t="str">
        <x:v>Not found</x:v>
      </x:c>
      <x:c r="I56" s="14" t="str">
        <x:v>Not found</x:v>
      </x:c>
      <x:c r="J56" s="14" t="str">
        <x:v>Search official AJKRSP</x:v>
      </x:c>
      <x:c r="K56" s="14" t="str">
        <x:v>https://www.google.com/search?q=AJK+Rural+Support+Programme+environment</x:v>
      </x:c>
      <x:c r="L56" s="14" t="str">
        <x:v>Lead from regional development sector</x:v>
      </x:c>
      <x:c r="M56" s="14" t="str">
        <x:v>Community resilience, NRM</x:v>
      </x:c>
      <x:c r="N56" s="14" t="str">
        <x:v>Medium</x:v>
      </x:c>
      <x:c r="O56" s="14" t="str">
        <x:v>Needs source verification.</x:v>
      </x:c>
    </x:row>
    <x:row r="57" ht="42" customHeight="1">
      <x:c r="A57" s="14" t="n">
        <x:v>56</x:v>
      </x:c>
      <x:c r="B57" s="14" t="str">
        <x:v>Azad Kashmir</x:v>
      </x:c>
      <x:c r="C57" s="14" t="str">
        <x:v>AJK / Muzaffarabad</x:v>
      </x:c>
      <x:c r="D57" s="14" t="str">
        <x:v>WWF-Pakistan AJK / Himalayan programmes</x:v>
      </x:c>
      <x:c r="E57" s="14" t="str">
        <x:v>International NGO programme</x:v>
      </x:c>
      <x:c r="F57" s="14" t="str">
        <x:v>Biodiversity, climate, conservation</x:v>
      </x:c>
      <x:c r="G57" s="14" t="str">
        <x:v>WWF-Pakistan likely operates via northern areas/AK programmes; needs AJK-specific verification.</x:v>
      </x:c>
      <x:c r="H57" s="14" t="str">
        <x:v>info@wwf.org.pk</x:v>
      </x:c>
      <x:c r="I57" s="14" t="str">
        <x:v>Not found</x:v>
      </x:c>
      <x:c r="J57" s="14" t="str">
        <x:v>https://www.wwfpak.org/</x:v>
      </x:c>
      <x:c r="K57" s="14" t="str">
        <x:v>https://www.wwfpak.org/</x:v>
      </x:c>
      <x:c r="L57" s="14" t="str">
        <x:v>Official general contact only</x:v>
      </x:c>
      <x:c r="M57" s="14" t="str">
        <x:v>Biodiversity, climate education, freshwater</x:v>
      </x:c>
      <x:c r="N57" s="14" t="str">
        <x:v>Medium</x:v>
      </x:c>
      <x:c r="O57" s="14" t="str">
        <x:v>Route via WWF-Pakistan.</x:v>
      </x:c>
    </x:row>
    <x:row r="58" ht="42" customHeight="1">
      <x:c r="A58" s="14" t="n">
        <x:v>57</x:v>
      </x:c>
      <x:c r="B58" s="14" t="str">
        <x:v>Azad Kashmir</x:v>
      </x:c>
      <x:c r="C58" s="14" t="str">
        <x:v>Neelum / Jhelum Valley</x:v>
      </x:c>
      <x:c r="D58" s="14" t="str">
        <x:v>Community-based watershed committees / CBOs</x:v>
      </x:c>
      <x:c r="E58" s="14" t="str">
        <x:v>Community institutions</x:v>
      </x:c>
      <x:c r="F58" s="14" t="str">
        <x:v>Watershed, forests, disaster resilience</x:v>
      </x:c>
      <x:c r="G58" s="14" t="str">
        <x:v>Important potential CBO layer for Neelum/Jhelum catchments; not single organization.</x:v>
      </x:c>
      <x:c r="H58" s="14" t="str">
        <x:v>Not found</x:v>
      </x:c>
      <x:c r="I58" s="14" t="str">
        <x:v>Not found</x:v>
      </x:c>
      <x:c r="J58" s="14" t="str">
        <x:v>To be verified</x:v>
      </x:c>
      <x:c r="K58" s="14" t="str">
        <x:v>https://www.frontiersin.org/journals/climate/articles/10.3389/fclim.2025.1527694/full</x:v>
      </x:c>
      <x:c r="L58" s="14" t="str">
        <x:v>Regional climate adaptation relevance</x:v>
      </x:c>
      <x:c r="M58" s="14" t="str">
        <x:v>Watershed resilience, DRR</x:v>
      </x:c>
      <x:c r="N58" s="14" t="str">
        <x:v>Medium</x:v>
      </x:c>
      <x:c r="O58" s="14" t="str">
        <x:v>Needs district-level mining.</x:v>
      </x:c>
    </x:row>
    <x:row r="59" ht="42" customHeight="1">
      <x:c r="A59" s="14" t="n">
        <x:v>58</x:v>
      </x:c>
      <x:c r="B59" s="14" t="str">
        <x:v>Azad Kashmir</x:v>
      </x:c>
      <x:c r="C59" s="14" t="str">
        <x:v>AJK-wide</x:v>
      </x:c>
      <x:c r="D59" s="14" t="str">
        <x:v>Kashmir Institute of International Relations (KIIR)</x:v>
      </x:c>
      <x:c r="E59" s="14" t="str">
        <x:v>Policy/civil society institute</x:v>
      </x:c>
      <x:c r="F59" s="14" t="str">
        <x:v>Climate justice, displacement, advocacy candidate</x:v>
      </x:c>
      <x:c r="G59" s="14" t="str">
        <x:v>Policy institute that may engage on climate/environment human security; verify environmental work.</x:v>
      </x:c>
      <x:c r="H59" s="14" t="str">
        <x:v>Not found</x:v>
      </x:c>
      <x:c r="I59" s="14" t="str">
        <x:v>Not found</x:v>
      </x:c>
      <x:c r="J59" s="14" t="str">
        <x:v>Search official KIIR</x:v>
      </x:c>
      <x:c r="K59" s="14" t="str">
        <x:v>https://www.google.com/search?q=Kashmir+Institute+of+International+Relations+climate+environment</x:v>
      </x:c>
      <x:c r="L59" s="14" t="str">
        <x:v>Lead only</x:v>
      </x:c>
      <x:c r="M59" s="14" t="str">
        <x:v>Climate governance, advocacy</x:v>
      </x:c>
      <x:c r="N59" s="14" t="str">
        <x:v>Low</x:v>
      </x:c>
      <x:c r="O59" s="14" t="str">
        <x:v>Not primarily environmental.</x:v>
      </x:c>
    </x:row>
    <x:row r="60" ht="42" customHeight="1">
      <x:c r="A60" s="14" t="n">
        <x:v>59</x:v>
      </x:c>
      <x:c r="B60" s="14" t="str">
        <x:v>Azad Kashmir</x:v>
      </x:c>
      <x:c r="C60" s="14" t="str">
        <x:v>Bagh / Rawalakot</x:v>
      </x:c>
      <x:c r="D60" s="14" t="str">
        <x:v>Poonch Development Foundation / local development NGOs</x:v>
      </x:c>
      <x:c r="E60" s="14" t="str">
        <x:v>Development NGO candidate</x:v>
      </x:c>
      <x:c r="F60" s="14" t="str">
        <x:v>Rural development, water, livelihoods</x:v>
      </x:c>
      <x:c r="G60" s="14" t="str">
        <x:v>Potential local development actor for environmental resilience; verify source.</x:v>
      </x:c>
      <x:c r="H60" s="14" t="str">
        <x:v>Not found</x:v>
      </x:c>
      <x:c r="I60" s="14" t="str">
        <x:v>Not found</x:v>
      </x:c>
      <x:c r="J60" s="14" t="str">
        <x:v>To be verified</x:v>
      </x:c>
      <x:c r="K60" s="14" t="str">
        <x:v>https://www.google.com/search?q=Poonch+Development+Foundation+Azad+Kashmir+environment</x:v>
      </x:c>
      <x:c r="L60" s="14" t="str">
        <x:v>Lead only</x:v>
      </x:c>
      <x:c r="M60" s="14" t="str">
        <x:v>Rural resilience, water, agriculture</x:v>
      </x:c>
      <x:c r="N60" s="14" t="str">
        <x:v>Low</x:v>
      </x:c>
      <x:c r="O60" s="14" t="str">
        <x:v>Needs verification.</x:v>
      </x:c>
    </x:row>
    <x:row r="61" ht="42" customHeight="1">
      <x:c r="A61" s="14" t="n">
        <x:v>60</x:v>
      </x:c>
      <x:c r="B61" s="14" t="str">
        <x:v>Azad Kashmir</x:v>
      </x:c>
      <x:c r="C61" s="14" t="str">
        <x:v>AJK-wide</x:v>
      </x:c>
      <x:c r="D61" s="14" t="str">
        <x:v>Pakistan Red Crescent Society AJK branch</x:v>
      </x:c>
      <x:c r="E61" s="14" t="str">
        <x:v>Humanitarian / DRR</x:v>
      </x:c>
      <x:c r="F61" s="14" t="str">
        <x:v>Disaster risk reduction, climate-related emergencies</x:v>
      </x:c>
      <x:c r="G61" s="14" t="str">
        <x:v>Relevant for floods, landslides, climate disasters; not environment NGO but key resilience stakeholder.</x:v>
      </x:c>
      <x:c r="H61" s="14" t="str">
        <x:v>Not found</x:v>
      </x:c>
      <x:c r="I61" s="14" t="str">
        <x:v>Not found</x:v>
      </x:c>
      <x:c r="J61" s="14" t="str">
        <x:v>https://prcs.org.pk/</x:v>
      </x:c>
      <x:c r="K61" s="14" t="str">
        <x:v>https://prcs.org.pk/</x:v>
      </x:c>
      <x:c r="L61" s="14" t="str">
        <x:v>Official national stakeholder</x:v>
      </x:c>
      <x:c r="M61" s="14" t="str">
        <x:v>DRR, climate emergency response</x:v>
      </x:c>
      <x:c r="N61" s="14" t="str">
        <x:v>Medium</x:v>
      </x:c>
      <x:c r="O61" s="14" t="str">
        <x:v>Need AJK branch contact.</x:v>
      </x:c>
    </x:row>
    <x:row r="62" ht="42" customHeight="1">
      <x:c r="A62" s="14" t="n">
        <x:v>61</x:v>
      </x:c>
      <x:c r="B62" s="14" t="str">
        <x:v>Azad Kashmir</x:v>
      </x:c>
      <x:c r="C62" s="14" t="str">
        <x:v>AJK-wide</x:v>
      </x:c>
      <x:c r="D62" s="14" t="str">
        <x:v>Islamic Relief Pakistan AJK programmes</x:v>
      </x:c>
      <x:c r="E62" s="14" t="str">
        <x:v>International NGO / humanitarian-development</x:v>
      </x:c>
      <x:c r="F62" s="14" t="str">
        <x:v>WASH, disaster resilience, climate adaptation</x:v>
      </x:c>
      <x:c r="G62" s="14" t="str">
        <x:v>Possible AJK work in disaster and WASH; verify current AJK environmental projects.</x:v>
      </x:c>
      <x:c r="H62" s="14" t="str">
        <x:v>info@irp.org.pk</x:v>
      </x:c>
      <x:c r="I62" s="14" t="str">
        <x:v>Not found</x:v>
      </x:c>
      <x:c r="J62" s="14" t="str">
        <x:v>https://islamic-relief.org.pk/</x:v>
      </x:c>
      <x:c r="K62" s="14" t="str">
        <x:v>https://islamic-relief.org.pk/</x:v>
      </x:c>
      <x:c r="L62" s="14" t="str">
        <x:v>Official general contact</x:v>
      </x:c>
      <x:c r="M62" s="14" t="str">
        <x:v>WASH, DRR, resilience</x:v>
      </x:c>
      <x:c r="N62" s="14" t="str">
        <x:v>Medium</x:v>
      </x:c>
      <x:c r="O62" s="14" t="str">
        <x:v>Not AJK-specific without further verification.</x:v>
      </x:c>
    </x:row>
    <x:row r="63" ht="42" customHeight="1">
      <x:c r="A63" s="14" t="n">
        <x:v>62</x:v>
      </x:c>
      <x:c r="B63" s="14" t="str">
        <x:v>Azad Kashmir</x:v>
      </x:c>
      <x:c r="C63" s="14" t="str">
        <x:v>Muzaffarabad</x:v>
      </x:c>
      <x:c r="D63" s="14" t="str">
        <x:v>University of AJK environment/climate research groups</x:v>
      </x:c>
      <x:c r="E63" s="14" t="str">
        <x:v>Academic stakeholder</x:v>
      </x:c>
      <x:c r="F63" s="14" t="str">
        <x:v>Climate, biodiversity, hydrology, DRR</x:v>
      </x:c>
      <x:c r="G63" s="14" t="str">
        <x:v>Academic stakeholder for research and NGO partnerships.</x:v>
      </x:c>
      <x:c r="H63" s="14" t="str">
        <x:v>Not found</x:v>
      </x:c>
      <x:c r="I63" s="14" t="str">
        <x:v>Not found</x:v>
      </x:c>
      <x:c r="J63" s="14" t="str">
        <x:v>https://www.ajku.edu.pk/</x:v>
      </x:c>
      <x:c r="K63" s="14" t="str">
        <x:v>https://www.ajku.edu.pk/</x:v>
      </x:c>
      <x:c r="L63" s="14" t="str">
        <x:v>Institutional lead</x:v>
      </x:c>
      <x:c r="M63" s="14" t="str">
        <x:v>Research support, public science</x:v>
      </x:c>
      <x:c r="N63" s="14" t="str">
        <x:v>Medium</x:v>
      </x:c>
      <x:c r="O63" s="14" t="str">
        <x:v>Not NGO; include for impact ecosystem.</x:v>
      </x:c>
    </x:row>
    <x:row r="64" ht="42" customHeight="1">
      <x:c r="A64" s="14" t="n">
        <x:v>63</x:v>
      </x:c>
      <x:c r="B64" s="14" t="str">
        <x:v>Azad Kashmir</x:v>
      </x:c>
      <x:c r="C64" s="14" t="str">
        <x:v>Neelum Valley</x:v>
      </x:c>
      <x:c r="D64" s="14" t="str">
        <x:v>Local Conservation Committees / forest communities</x:v>
      </x:c>
      <x:c r="E64" s="14" t="str">
        <x:v>Community institutions</x:v>
      </x:c>
      <x:c r="F64" s="14" t="str">
        <x:v>Forests, biodiversity, watershed protection</x:v>
      </x:c>
      <x:c r="G64" s="14" t="str">
        <x:v>Likely community layer for forest/watershed governance; needs identification.</x:v>
      </x:c>
      <x:c r="H64" s="14" t="str">
        <x:v>Not found</x:v>
      </x:c>
      <x:c r="I64" s="14" t="str">
        <x:v>Not found</x:v>
      </x:c>
      <x:c r="J64" s="14" t="str">
        <x:v>To be mapped</x:v>
      </x:c>
      <x:c r="K64" s="14" t="str">
        <x:v>https://www.frontiersin.org/journals/climate/articles/10.3389/fclim.2025.1527694/full</x:v>
      </x:c>
      <x:c r="L64" s="14" t="str">
        <x:v>Thematic regional source</x:v>
      </x:c>
      <x:c r="M64" s="14" t="str">
        <x:v>Forest/watershed community action</x:v>
      </x:c>
      <x:c r="N64" s="14" t="str">
        <x:v>Medium</x:v>
      </x:c>
      <x:c r="O64" s="14" t="str">
        <x:v>Important but not desk-verified.</x:v>
      </x:c>
    </x:row>
    <x:row r="65" ht="42" customHeight="1">
      <x:c r="A65" s="14" t="n">
        <x:v>64</x:v>
      </x:c>
      <x:c r="B65" s="14" t="str">
        <x:v>Gilgit-Baltistan</x:v>
      </x:c>
      <x:c r="C65" s="14" t="str">
        <x:v>Gilgit / GB-wide</x:v>
      </x:c>
      <x:c r="D65" s="14" t="str">
        <x:v>Environmental Protection Agency Gilgit-Baltistan</x:v>
      </x:c>
      <x:c r="E65" s="14" t="str">
        <x:v>Government environmental regulator</x:v>
      </x:c>
      <x:c r="F65" s="14" t="str">
        <x:v>EIA, environmental protection, regulation</x:v>
      </x:c>
      <x:c r="G65" s="14" t="str">
        <x:v>Official GB EPA page lists address, phone, fax and email.</x:v>
      </x:c>
      <x:c r="H65" s="14" t="str">
        <x:v>info@gbepa.gog.pk</x:v>
      </x:c>
      <x:c r="I65" s="14" t="str">
        <x:v>(05811)-920679; Fax (05811)-922016</x:v>
      </x:c>
      <x:c r="J65" s="14" t="str">
        <x:v>https://gbepa.gog.pk/</x:v>
      </x:c>
      <x:c r="K65" s="14" t="str">
        <x:v>https://gbepa.gog.pk/contact-us/</x:v>
      </x:c>
      <x:c r="L65" s="14" t="str">
        <x:v>Official contact page</x:v>
      </x:c>
      <x:c r="M65" s="14" t="str">
        <x:v>Regulatory interface, EIA, compliance</x:v>
      </x:c>
      <x:c r="N65" s="14" t="str">
        <x:v>High</x:v>
      </x:c>
      <x:c r="O65" s="14" t="str">
        <x:v>Government, not NGO; essential registry node.</x:v>
      </x:c>
    </x:row>
    <x:row r="66" ht="42" customHeight="1">
      <x:c r="A66" s="14" t="n">
        <x:v>65</x:v>
      </x:c>
      <x:c r="B66" s="14" t="str">
        <x:v>Gilgit-Baltistan</x:v>
      </x:c>
      <x:c r="C66" s="14" t="str">
        <x:v>GB-wide</x:v>
      </x:c>
      <x:c r="D66" s="14" t="str">
        <x:v>Aga Khan Rural Support Programme (AKRSP) Pakistan</x:v>
      </x:c>
      <x:c r="E66" s="14" t="str">
        <x:v>Development NGO / rural support</x:v>
      </x:c>
      <x:c r="F66" s="14" t="str">
        <x:v>Water, agriculture, climate resilience, livelihoods</x:v>
      </x:c>
      <x:c r="G66" s="14" t="str">
        <x:v>Major northern Pakistan rural development institution; relevant to climate adaptation and natural resources.</x:v>
      </x:c>
      <x:c r="H66" s="14" t="str">
        <x:v>info@akrsp.org.pk</x:v>
      </x:c>
      <x:c r="I66" s="14" t="str">
        <x:v>Not found</x:v>
      </x:c>
      <x:c r="J66" s="14" t="str">
        <x:v>https://akrsp.org.pk/</x:v>
      </x:c>
      <x:c r="K66" s="14" t="str">
        <x:v>https://akrsp.org.pk/</x:v>
      </x:c>
      <x:c r="L66" s="14" t="str">
        <x:v>Official website general</x:v>
      </x:c>
      <x:c r="M66" s="14" t="str">
        <x:v>Water, agriculture, community institutions, resilience</x:v>
      </x:c>
      <x:c r="N66" s="14" t="str">
        <x:v>High</x:v>
      </x:c>
      <x:c r="O66" s="14" t="str">
        <x:v>Key GB development actor.</x:v>
      </x:c>
    </x:row>
    <x:row r="67" ht="42" customHeight="1">
      <x:c r="A67" s="14" t="n">
        <x:v>66</x:v>
      </x:c>
      <x:c r="B67" s="14" t="str">
        <x:v>Gilgit-Baltistan</x:v>
      </x:c>
      <x:c r="C67" s="14" t="str">
        <x:v>GB-wide</x:v>
      </x:c>
      <x:c r="D67" s="14" t="str">
        <x:v>Gilgit-Baltistan Rural Support Programme (GBRSP)</x:v>
      </x:c>
      <x:c r="E67" s="14" t="str">
        <x:v>Rural support programme</x:v>
      </x:c>
      <x:c r="F67" s="14" t="str">
        <x:v>Community development, livelihoods, environment/DRR candidate</x:v>
      </x:c>
      <x:c r="G67" s="14" t="str">
        <x:v>Named as World Environment Day partner in public post; important regional community institution.</x:v>
      </x:c>
      <x:c r="H67" s="14" t="str">
        <x:v>Not found</x:v>
      </x:c>
      <x:c r="I67" s="14" t="str">
        <x:v>Not found</x:v>
      </x:c>
      <x:c r="J67" s="14" t="str">
        <x:v>Social/public references</x:v>
      </x:c>
      <x:c r="K67" s="14" t="str">
        <x:v>https://www.instagram.com/reel/DZrWOqaoU_b/</x:v>
      </x:c>
      <x:c r="L67" s="14" t="str">
        <x:v>Social signal only</x:v>
      </x:c>
      <x:c r="M67" s="14" t="str">
        <x:v>Community mobilization, climate/environment campaigns</x:v>
      </x:c>
      <x:c r="N67" s="14" t="str">
        <x:v>High</x:v>
      </x:c>
      <x:c r="O67" s="14" t="str">
        <x:v>Find official contact in next pass.</x:v>
      </x:c>
    </x:row>
    <x:row r="68" ht="42" customHeight="1">
      <x:c r="A68" s="14" t="n">
        <x:v>67</x:v>
      </x:c>
      <x:c r="B68" s="14" t="str">
        <x:v>Gilgit-Baltistan</x:v>
      </x:c>
      <x:c r="C68" s="14" t="str">
        <x:v>GB-wide</x:v>
      </x:c>
      <x:c r="D68" s="14" t="str">
        <x:v>Snow Leopard Foundation Pakistan</x:v>
      </x:c>
      <x:c r="E68" s="14" t="str">
        <x:v>Conservation NGO</x:v>
      </x:c>
      <x:c r="F68" s="14" t="str">
        <x:v>Snow leopard, wildlife, community conservation</x:v>
      </x:c>
      <x:c r="G68" s="14" t="str">
        <x:v>Major Pakistan conservation NGO active in snow leopard ranges including GB.</x:v>
      </x:c>
      <x:c r="H68" s="14" t="str">
        <x:v>info@snowleopard.org.pk</x:v>
      </x:c>
      <x:c r="I68" s="14" t="str">
        <x:v>Not found</x:v>
      </x:c>
      <x:c r="J68" s="14" t="str">
        <x:v>https://snowleopard.org.pk/</x:v>
      </x:c>
      <x:c r="K68" s="14" t="str">
        <x:v>https://snowleopard.org.pk/</x:v>
      </x:c>
      <x:c r="L68" s="14" t="str">
        <x:v>Official website general</x:v>
      </x:c>
      <x:c r="M68" s="14" t="str">
        <x:v>Wildlife conservation, conflict mitigation</x:v>
      </x:c>
      <x:c r="N68" s="14" t="str">
        <x:v>High</x:v>
      </x:c>
      <x:c r="O68" s="14" t="str">
        <x:v>Verify local GB office contacts.</x:v>
      </x:c>
    </x:row>
    <x:row r="69" ht="42" customHeight="1">
      <x:c r="A69" s="14" t="n">
        <x:v>68</x:v>
      </x:c>
      <x:c r="B69" s="14" t="str">
        <x:v>Gilgit-Baltistan</x:v>
      </x:c>
      <x:c r="C69" s="14" t="str">
        <x:v>GB-wide</x:v>
      </x:c>
      <x:c r="D69" s="14" t="str">
        <x:v>WWF-Pakistan Gilgit-Baltistan / northern mountains work</x:v>
      </x:c>
      <x:c r="E69" s="14" t="str">
        <x:v>International NGO programme</x:v>
      </x:c>
      <x:c r="F69" s="14" t="str">
        <x:v>Biodiversity, climate, freshwater, conservation</x:v>
      </x:c>
      <x:c r="G69" s="14" t="str">
        <x:v>Potentially key for northern Pakistan conservation; use general WWF Pakistan contact.</x:v>
      </x:c>
      <x:c r="H69" s="14" t="str">
        <x:v>info@wwf.org.pk</x:v>
      </x:c>
      <x:c r="I69" s="14" t="str">
        <x:v>Not found</x:v>
      </x:c>
      <x:c r="J69" s="14" t="str">
        <x:v>https://www.wwfpak.org/</x:v>
      </x:c>
      <x:c r="K69" s="14" t="str">
        <x:v>https://www.wwfpak.org/</x:v>
      </x:c>
      <x:c r="L69" s="14" t="str">
        <x:v>Official website general</x:v>
      </x:c>
      <x:c r="M69" s="14" t="str">
        <x:v>Biodiversity, climate education, freshwater</x:v>
      </x:c>
      <x:c r="N69" s="14" t="str">
        <x:v>High</x:v>
      </x:c>
      <x:c r="O69" s="14" t="str">
        <x:v>Need GB-specific contacts.</x:v>
      </x:c>
    </x:row>
    <x:row r="70" ht="42" customHeight="1">
      <x:c r="A70" s="14" t="n">
        <x:v>69</x:v>
      </x:c>
      <x:c r="B70" s="14" t="str">
        <x:v>Gilgit-Baltistan</x:v>
      </x:c>
      <x:c r="C70" s="14" t="str">
        <x:v>GB-wide</x:v>
      </x:c>
      <x:c r="D70" s="14" t="str">
        <x:v>Mountain Areas Conservancy Fund (MACF)</x:v>
      </x:c>
      <x:c r="E70" s="14" t="str">
        <x:v>Conservation fund / programme legacy</x:v>
      </x:c>
      <x:c r="F70" s="14" t="str">
        <x:v>Community conservancies, wildlife, livelihoods</x:v>
      </x:c>
      <x:c r="G70" s="14" t="str">
        <x:v>Pakistan Ministry of Climate Change page describes MACP/MACF/GEF/UNDP mountain conservation context.</x:v>
      </x:c>
      <x:c r="H70" s="14" t="str">
        <x:v>Not found</x:v>
      </x:c>
      <x:c r="I70" s="14" t="str">
        <x:v>Not found</x:v>
      </x:c>
      <x:c r="J70" s="14" t="str">
        <x:v>https://mocc.gov.pk/Detail/ZDY4MGRiMGEtZGFhZi00ZmYwLThjYjUtMGI4MDUyNmU0ODUx</x:v>
      </x:c>
      <x:c r="K70" s="14" t="str">
        <x:v>https://mocc.gov.pk/Detail/ZDY4MGRiMGEtZGFhZi00ZmYwLThjYjUtMGI4MDUyNmU0ODUx</x:v>
      </x:c>
      <x:c r="L70" s="14" t="str">
        <x:v>Government programme page</x:v>
      </x:c>
      <x:c r="M70" s="14" t="str">
        <x:v>Community conservancies, wildlife finance</x:v>
      </x:c>
      <x:c r="N70" s="14" t="str">
        <x:v>High</x:v>
      </x:c>
      <x:c r="O70" s="14" t="str">
        <x:v>Programme/fund, not regular NGO.</x:v>
      </x:c>
    </x:row>
    <x:row r="71" ht="42" customHeight="1">
      <x:c r="A71" s="14" t="n">
        <x:v>70</x:v>
      </x:c>
      <x:c r="B71" s="14" t="str">
        <x:v>Gilgit-Baltistan</x:v>
      </x:c>
      <x:c r="C71" s="14" t="str">
        <x:v>Hunza / Gojal</x:v>
      </x:c>
      <x:c r="D71" s="14" t="str">
        <x:v>Ghulkin Local Conservation Organisation / GLAD-linked model</x:v>
      </x:c>
      <x:c r="E71" s="14" t="str">
        <x:v>Community conservation organization</x:v>
      </x:c>
      <x:c r="F71" s="14" t="str">
        <x:v>Wildlife, community conservancy, trophy hunting revenue, habitat</x:v>
      </x:c>
      <x:c r="G71" s="14" t="str">
        <x:v>Conservation Frontlines reports GLAD income reinvested in environment/habitat and community services.</x:v>
      </x:c>
      <x:c r="H71" s="14" t="str">
        <x:v>Not found</x:v>
      </x:c>
      <x:c r="I71" s="14" t="str">
        <x:v>Not found</x:v>
      </x:c>
      <x:c r="J71" s="14" t="str">
        <x:v>https://conservationfrontlines.org/2022/12/community-based-conservation-in-pakistan-here-sustainability-means-if-it-pays-it-stays/</x:v>
      </x:c>
      <x:c r="K71" s="14" t="str">
        <x:v>https://conservationfrontlines.org/2022/12/community-based-conservation-in-pakistan-here-sustainability-means-if-it-pays-it-stays/</x:v>
      </x:c>
      <x:c r="L71" s="14" t="str">
        <x:v>Media/conservation article</x:v>
      </x:c>
      <x:c r="M71" s="14" t="str">
        <x:v>Community conservancy, wildlife finance</x:v>
      </x:c>
      <x:c r="N71" s="14" t="str">
        <x:v>High</x:v>
      </x:c>
      <x:c r="O71" s="14" t="str">
        <x:v>Excellent impact model; verify contacts.</x:v>
      </x:c>
    </x:row>
    <x:row r="72" ht="42" customHeight="1">
      <x:c r="A72" s="14" t="n">
        <x:v>71</x:v>
      </x:c>
      <x:c r="B72" s="14" t="str">
        <x:v>Gilgit-Baltistan</x:v>
      </x:c>
      <x:c r="C72" s="14" t="str">
        <x:v>Baltistan</x:v>
      </x:c>
      <x:c r="D72" s="14" t="str">
        <x:v>Baltistan Wildlife Conservation and Development Organization (BWCDO)</x:v>
      </x:c>
      <x:c r="E72" s="14" t="str">
        <x:v>Conservation NGO / CBO</x:v>
      </x:c>
      <x:c r="F72" s="14" t="str">
        <x:v>Wildlife, snow leopard, community conservation</x:v>
      </x:c>
      <x:c r="G72" s="14" t="str">
        <x:v>Known conservation organization in Baltistan; contact not found in current sweep.</x:v>
      </x:c>
      <x:c r="H72" s="14" t="str">
        <x:v>Not found</x:v>
      </x:c>
      <x:c r="I72" s="14" t="str">
        <x:v>Not found</x:v>
      </x:c>
      <x:c r="J72" s="14" t="str">
        <x:v>To be verified</x:v>
      </x:c>
      <x:c r="K72" s="14" t="str">
        <x:v>https://www.google.com/search?q=Baltistan+Wildlife+Conservation+and+Development+Organization+contact</x:v>
      </x:c>
      <x:c r="L72" s="14" t="str">
        <x:v>Lead only</x:v>
      </x:c>
      <x:c r="M72" s="14" t="str">
        <x:v>Snow leopard, community conservation</x:v>
      </x:c>
      <x:c r="N72" s="14" t="str">
        <x:v>High</x:v>
      </x:c>
      <x:c r="O72" s="14" t="str">
        <x:v>Needs official source verification.</x:v>
      </x:c>
    </x:row>
    <x:row r="73" ht="42" customHeight="1">
      <x:c r="A73" s="14" t="n">
        <x:v>72</x:v>
      </x:c>
      <x:c r="B73" s="14" t="str">
        <x:v>Gilgit-Baltistan</x:v>
      </x:c>
      <x:c r="C73" s="14" t="str">
        <x:v>GB-wide</x:v>
      </x:c>
      <x:c r="D73" s="14" t="str">
        <x:v>Progressive Climate Foundation (PCF) Gilgit-Baltistan</x:v>
      </x:c>
      <x:c r="E73" s="14" t="str">
        <x:v>Youth-led climate movement</x:v>
      </x:c>
      <x:c r="F73" s="14" t="str">
        <x:v>Climate action, environmental conservation, sustainable development</x:v>
      </x:c>
      <x:c r="G73" s="14" t="str">
        <x:v>Public Instagram result describes PCF as youth-led climate movement committed to environmental conservation, climate action and sustainable development.</x:v>
      </x:c>
      <x:c r="H73" s="14" t="str">
        <x:v>Not found</x:v>
      </x:c>
      <x:c r="I73" s="14" t="str">
        <x:v>Not found</x:v>
      </x:c>
      <x:c r="J73" s="14" t="str">
        <x:v>Instagram public page/posts</x:v>
      </x:c>
      <x:c r="K73" s="14" t="str">
        <x:v>https://www.instagram.com/p/DZrfIxkvTyy/</x:v>
      </x:c>
      <x:c r="L73" s="14" t="str">
        <x:v>Social signal only</x:v>
      </x:c>
      <x:c r="M73" s="14" t="str">
        <x:v>Youth climate action, campaigns</x:v>
      </x:c>
      <x:c r="N73" s="14" t="str">
        <x:v>High</x:v>
      </x:c>
      <x:c r="O73" s="14" t="str">
        <x:v>Needs contact verification.</x:v>
      </x:c>
    </x:row>
    <x:row r="74" ht="42" customHeight="1">
      <x:c r="A74" s="14" t="n">
        <x:v>73</x:v>
      </x:c>
      <x:c r="B74" s="14" t="str">
        <x:v>Gilgit-Baltistan</x:v>
      </x:c>
      <x:c r="C74" s="14" t="str">
        <x:v>GB-wide</x:v>
      </x:c>
      <x:c r="D74" s="14" t="str">
        <x:v>ICIMOD GB climate/media capacity network</x:v>
      </x:c>
      <x:c r="E74" s="14" t="str">
        <x:v>Regional intergovernmental / knowledge partner</x:v>
      </x:c>
      <x:c r="F74" s="14" t="str">
        <x:v>Climate reporting, capacity building</x:v>
      </x:c>
      <x:c r="G74" s="14" t="str">
        <x:v>ICIMOD ran environment/climate reporting workshop in GB involving journalists and KIU students.</x:v>
      </x:c>
      <x:c r="H74" s="14" t="str">
        <x:v>Not found</x:v>
      </x:c>
      <x:c r="I74" s="14" t="str">
        <x:v>Not found</x:v>
      </x:c>
      <x:c r="J74" s="14" t="str">
        <x:v>https://www.icimod.org/capacity-building-workshop-for-journalists-on-environment-and-climate-reporting-in-gilgit-baltistan/</x:v>
      </x:c>
      <x:c r="K74" s="14" t="str">
        <x:v>https://www.icimod.org/capacity-building-workshop-for-journalists-on-environment-and-climate-reporting-in-gilgit-baltistan/</x:v>
      </x:c>
      <x:c r="L74" s="14" t="str">
        <x:v>Official ICIMOD source</x:v>
      </x:c>
      <x:c r="M74" s="14" t="str">
        <x:v>Climate journalism, knowledge transfer</x:v>
      </x:c>
      <x:c r="N74" s="14" t="str">
        <x:v>Medium</x:v>
      </x:c>
      <x:c r="O74" s="14" t="str">
        <x:v>Not NGO but knowledge partner.</x:v>
      </x:c>
    </x:row>
    <x:row r="75" ht="42" customHeight="1">
      <x:c r="A75" s="14" t="n">
        <x:v>74</x:v>
      </x:c>
      <x:c r="B75" s="14" t="str">
        <x:v>Gilgit-Baltistan</x:v>
      </x:c>
      <x:c r="C75" s="14" t="str">
        <x:v>GB-wide</x:v>
      </x:c>
      <x:c r="D75" s="14" t="str">
        <x:v>UNDP Pakistan GLOF-II / glacier adaptation partners</x:v>
      </x:c>
      <x:c r="E75" s="14" t="str">
        <x:v>International development programme</x:v>
      </x:c>
      <x:c r="F75" s="14" t="str">
        <x:v>GLOF, water, climate adaptation</x:v>
      </x:c>
      <x:c r="G75" s="14" t="str">
        <x:v>UNDP resources describe indigenous practices like glacier grafting/ice stupas for GB climate adaptation.</x:v>
      </x:c>
      <x:c r="H75" s="14" t="str">
        <x:v>Not found</x:v>
      </x:c>
      <x:c r="I75" s="14" t="str">
        <x:v>Not found</x:v>
      </x:c>
      <x:c r="J75" s="14" t="str">
        <x:v>https://www.adaptation-undp.org/resources/videos/indigenous-innovative-practices-water-conservation-gilgit-baltistan</x:v>
      </x:c>
      <x:c r="K75" s="14" t="str">
        <x:v>https://www.adaptation-undp.org/resources/videos/indigenous-innovative-practices-water-conservation-gilgit-baltistan</x:v>
      </x:c>
      <x:c r="L75" s="14" t="str">
        <x:v>Official UNDP/adaptation source</x:v>
      </x:c>
      <x:c r="M75" s="14" t="str">
        <x:v>GLOF, water scarcity, climate adaptation</x:v>
      </x:c>
      <x:c r="N75" s="14" t="str">
        <x:v>High</x:v>
      </x:c>
      <x:c r="O75" s="14" t="str">
        <x:v>Map local implementing partners.</x:v>
      </x:c>
    </x:row>
    <x:row r="76" ht="42" customHeight="1">
      <x:c r="A76" s="14" t="n">
        <x:v>75</x:v>
      </x:c>
      <x:c r="B76" s="14" t="str">
        <x:v>Gilgit-Baltistan</x:v>
      </x:c>
      <x:c r="C76" s="14" t="str">
        <x:v>GB-wide</x:v>
      </x:c>
      <x:c r="D76" s="14" t="str">
        <x:v>Karakoram International University environment/climate groups</x:v>
      </x:c>
      <x:c r="E76" s="14" t="str">
        <x:v>Academic stakeholder</x:v>
      </x:c>
      <x:c r="F76" s="14" t="str">
        <x:v>Climate research, journalism capacity, biodiversity</x:v>
      </x:c>
      <x:c r="G76" s="14" t="str">
        <x:v>KIU students participated in ICIMOD climate journalism workshop; key academic partner.</x:v>
      </x:c>
      <x:c r="H76" s="14" t="str">
        <x:v>Not found</x:v>
      </x:c>
      <x:c r="I76" s="14" t="str">
        <x:v>Not found</x:v>
      </x:c>
      <x:c r="J76" s="14" t="str">
        <x:v>https://www.kiu.edu.pk/</x:v>
      </x:c>
      <x:c r="K76" s="14" t="str">
        <x:v>https://www.icimod.org/capacity-building-workshop-for-journalists-on-environment-and-climate-reporting-in-gilgit-baltistan/</x:v>
      </x:c>
      <x:c r="L76" s="14" t="str">
        <x:v>Institutional/thematic source</x:v>
      </x:c>
      <x:c r="M76" s="14" t="str">
        <x:v>Climate research, capacity building</x:v>
      </x:c>
      <x:c r="N76" s="14" t="str">
        <x:v>Medium</x:v>
      </x:c>
      <x:c r="O76" s="14" t="str">
        <x:v>Not NGO.</x:v>
      </x:c>
    </x:row>
    <x:row r="77" ht="42" customHeight="1">
      <x:c r="A77" s="14" t="n">
        <x:v>76</x:v>
      </x:c>
      <x:c r="B77" s="14" t="str">
        <x:v>Gilgit-Baltistan</x:v>
      </x:c>
      <x:c r="C77" s="14" t="str">
        <x:v>Hunza / Nagar</x:v>
      </x:c>
      <x:c r="D77" s="14" t="str">
        <x:v>Local Support Organizations under AKRSP</x:v>
      </x:c>
      <x:c r="E77" s="14" t="str">
        <x:v>Community institutions</x:v>
      </x:c>
      <x:c r="F77" s="14" t="str">
        <x:v>Water, agriculture, disaster resilience</x:v>
      </x:c>
      <x:c r="G77" s="14" t="str">
        <x:v>AKRSP-created community institutions are key NRM nodes; map at district/valley level.</x:v>
      </x:c>
      <x:c r="H77" s="14" t="str">
        <x:v>info@akrsp.org.pk</x:v>
      </x:c>
      <x:c r="I77" s="14" t="str">
        <x:v>Not found</x:v>
      </x:c>
      <x:c r="J77" s="14" t="str">
        <x:v>https://akrsp.org.pk/</x:v>
      </x:c>
      <x:c r="K77" s="14" t="str">
        <x:v>https://akrsp.org.pk/</x:v>
      </x:c>
      <x:c r="L77" s="14" t="str">
        <x:v>Official programme lead</x:v>
      </x:c>
      <x:c r="M77" s="14" t="str">
        <x:v>Water, agriculture, community resilience</x:v>
      </x:c>
      <x:c r="N77" s="14" t="str">
        <x:v>High</x:v>
      </x:c>
      <x:c r="O77" s="14" t="str">
        <x:v>Need LSO names/contacts in next pass.</x:v>
      </x:c>
    </x:row>
    <x:row r="78" ht="42" customHeight="1">
      <x:c r="A78" s="14" t="n">
        <x:v>77</x:v>
      </x:c>
      <x:c r="B78" s="14" t="str">
        <x:v>Gilgit-Baltistan</x:v>
      </x:c>
      <x:c r="C78" s="14" t="str">
        <x:v>Astore / Deosai</x:v>
      </x:c>
      <x:c r="D78" s="14" t="str">
        <x:v>Himalayan Wildlife Foundation / Deosai conservation candidate</x:v>
      </x:c>
      <x:c r="E78" s="14" t="str">
        <x:v>Conservation NGO / possible actor</x:v>
      </x:c>
      <x:c r="F78" s="14" t="str">
        <x:v>Wildlife, protected areas</x:v>
      </x:c>
      <x:c r="G78" s="14" t="str">
        <x:v>Known Pakistan conservation actor around Himalayan wildlife; needs GB-specific current verification.</x:v>
      </x:c>
      <x:c r="H78" s="14" t="str">
        <x:v>Not found</x:v>
      </x:c>
      <x:c r="I78" s="14" t="str">
        <x:v>Not found</x:v>
      </x:c>
      <x:c r="J78" s="14" t="str">
        <x:v>Search official HWF</x:v>
      </x:c>
      <x:c r="K78" s="14" t="str">
        <x:v>https://www.google.com/search?q=Himalayan+Wildlife+Foundation+Deosai+Gilgit+Baltistan</x:v>
      </x:c>
      <x:c r="L78" s="14" t="str">
        <x:v>Lead only</x:v>
      </x:c>
      <x:c r="M78" s="14" t="str">
        <x:v>Protected areas, brown bear/wildlife</x:v>
      </x:c>
      <x:c r="N78" s="14" t="str">
        <x:v>Medium</x:v>
      </x:c>
      <x:c r="O78" s="14" t="str">
        <x:v>Verify before outreach.</x:v>
      </x:c>
    </x:row>
    <x:row r="79" ht="42" customHeight="1">
      <x:c r="A79" s="14" t="n">
        <x:v>78</x:v>
      </x:c>
      <x:c r="B79" s="14" t="str">
        <x:v>Gilgit-Baltistan</x:v>
      </x:c>
      <x:c r="C79" s="14" t="str">
        <x:v>GB-wide</x:v>
      </x:c>
      <x:c r="D79" s="14" t="str">
        <x:v>Pakistan Wildlife Foundation / northern work candidate</x:v>
      </x:c>
      <x:c r="E79" s="14" t="str">
        <x:v>National conservation NGO</x:v>
      </x:c>
      <x:c r="F79" s="14" t="str">
        <x:v>Wildlife, education</x:v>
      </x:c>
      <x:c r="G79" s="14" t="str">
        <x:v>Potential national NGO; needs GB-specific verification.</x:v>
      </x:c>
      <x:c r="H79" s="14" t="str">
        <x:v>Not found</x:v>
      </x:c>
      <x:c r="I79" s="14" t="str">
        <x:v>Not found</x:v>
      </x:c>
      <x:c r="J79" s="14" t="str">
        <x:v>Search official PWF</x:v>
      </x:c>
      <x:c r="K79" s="14" t="str">
        <x:v>https://www.google.com/search?q=Pakistan+Wildlife+Foundation+Gilgit+Baltistan</x:v>
      </x:c>
      <x:c r="L79" s="14" t="str">
        <x:v>Lead only</x:v>
      </x:c>
      <x:c r="M79" s="14" t="str">
        <x:v>Wildlife education</x:v>
      </x:c>
      <x:c r="N79" s="14" t="str">
        <x:v>Low</x:v>
      </x:c>
      <x:c r="O79" s="14" t="str">
        <x:v>Verify.</x:v>
      </x:c>
    </x:row>
    <x:row r="80" ht="42" customHeight="1">
      <x:c r="A80" s="14" t="n">
        <x:v>79</x:v>
      </x:c>
      <x:c r="B80" s="14" t="str">
        <x:v>Gilgit-Baltistan</x:v>
      </x:c>
      <x:c r="C80" s="14" t="str">
        <x:v>GB-wide</x:v>
      </x:c>
      <x:c r="D80" s="14" t="str">
        <x:v>Rupani Foundation / climate-resilience candidate</x:v>
      </x:c>
      <x:c r="E80" s="14" t="str">
        <x:v>Development NGO</x:v>
      </x:c>
      <x:c r="F80" s="14" t="str">
        <x:v>Disaster resilience, livelihoods, climate candidate</x:v>
      </x:c>
      <x:c r="G80" s="14" t="str">
        <x:v>Works in mountain communities; environmental relevance needs verification.</x:v>
      </x:c>
      <x:c r="H80" s="14" t="str">
        <x:v>Not found</x:v>
      </x:c>
      <x:c r="I80" s="14" t="str">
        <x:v>Not found</x:v>
      </x:c>
      <x:c r="J80" s="14" t="str">
        <x:v>https://www.rupanifoundation.org/</x:v>
      </x:c>
      <x:c r="K80" s="14" t="str">
        <x:v>https://www.rupanifoundation.org/</x:v>
      </x:c>
      <x:c r="L80" s="14" t="str">
        <x:v>Official org lead</x:v>
      </x:c>
      <x:c r="M80" s="14" t="str">
        <x:v>Community resilience, livelihoods</x:v>
      </x:c>
      <x:c r="N80" s="14" t="str">
        <x:v>Low</x:v>
      </x:c>
      <x:c r="O80" s="14" t="str">
        <x:v>Confirm environment projects.</x:v>
      </x:c>
    </x:row>
    <x:row r="81" ht="42" customHeight="1">
      <x:c r="A81" s="14" t="n">
        <x:v>80</x:v>
      </x:c>
      <x:c r="B81" s="14" t="str">
        <x:v>Gilgit-Baltistan</x:v>
      </x:c>
      <x:c r="C81" s="14" t="str">
        <x:v>GB-wide</x:v>
      </x:c>
      <x:c r="D81" s="14" t="str">
        <x:v>Focus Humanitarian Assistance Pakistan / AKDN</x:v>
      </x:c>
      <x:c r="E81" s="14" t="str">
        <x:v>Humanitarian/DRR NGO</x:v>
      </x:c>
      <x:c r="F81" s="14" t="str">
        <x:v>Disaster risk management, climate hazards</x:v>
      </x:c>
      <x:c r="G81" s="14" t="str">
        <x:v>High relevance to floods, landslides, GLOFs and community resilience in mountain regions.</x:v>
      </x:c>
      <x:c r="H81" s="14" t="str">
        <x:v>Not found</x:v>
      </x:c>
      <x:c r="I81" s="14" t="str">
        <x:v>Not found</x:v>
      </x:c>
      <x:c r="J81" s="14" t="str">
        <x:v>https://the.akdn/</x:v>
      </x:c>
      <x:c r="K81" s="14" t="str">
        <x:v>https://the.akdn/</x:v>
      </x:c>
      <x:c r="L81" s="14" t="str">
        <x:v>Official AKDN lead</x:v>
      </x:c>
      <x:c r="M81" s="14" t="str">
        <x:v>DRR, GLOF, emergency preparedness</x:v>
      </x:c>
      <x:c r="N81" s="14" t="str">
        <x:v>Medium</x:v>
      </x:c>
      <x:c r="O81" s="14" t="str">
        <x:v>Need Pakistan/GB contact.</x:v>
      </x:c>
    </x:row>
    <x:row r="82" ht="42" customHeight="1">
      <x:c r="A82" s="14" t="n">
        <x:v>81</x:v>
      </x:c>
      <x:c r="B82" s="14" t="str">
        <x:v>Gilgit-Baltistan</x:v>
      </x:c>
      <x:c r="C82" s="14" t="str">
        <x:v>GB-wide</x:v>
      </x:c>
      <x:c r="D82" s="14" t="str">
        <x:v>Mountain Societies Research Institute / UCA partner network</x:v>
      </x:c>
      <x:c r="E82" s="14" t="str">
        <x:v>Research/knowledge institution</x:v>
      </x:c>
      <x:c r="F82" s="14" t="str">
        <x:v>Mountain development, climate adaptation</x:v>
      </x:c>
      <x:c r="G82" s="14" t="str">
        <x:v>Knowledge ecosystem for mountain societies; can support evidence-based registry and research.</x:v>
      </x:c>
      <x:c r="H82" s="14" t="str">
        <x:v>Not found</x:v>
      </x:c>
      <x:c r="I82" s="14" t="str">
        <x:v>Not found</x:v>
      </x:c>
      <x:c r="J82" s="14" t="str">
        <x:v>https://ucentralasia.org/</x:v>
      </x:c>
      <x:c r="K82" s="14" t="str">
        <x:v>https://ucentralasia.org/</x:v>
      </x:c>
      <x:c r="L82" s="14" t="str">
        <x:v>Institutional lead</x:v>
      </x:c>
      <x:c r="M82" s="14" t="str">
        <x:v>Research, climate adaptation, policy</x:v>
      </x:c>
      <x:c r="N82" s="14" t="str">
        <x:v>Low</x:v>
      </x:c>
      <x:c r="O82" s="14" t="str">
        <x:v>Not GB-based NGO.</x:v>
      </x:c>
    </x:row>
    <x:row r="83" ht="42" customHeight="1">
      <x:c r="A83" s="14" t="n">
        <x:v>82</x:v>
      </x:c>
      <x:c r="B83" s="14" t="str">
        <x:v>Gilgit-Baltistan</x:v>
      </x:c>
      <x:c r="C83" s="14" t="str">
        <x:v>Skardu</x:v>
      </x:c>
      <x:c r="D83" s="14" t="str">
        <x:v>Baltistan Association of Tour Operators / eco-tourism candidate</x:v>
      </x:c>
      <x:c r="E83" s="14" t="str">
        <x:v>Industry/civil association</x:v>
      </x:c>
      <x:c r="F83" s="14" t="str">
        <x:v>Tourism footprint, waste, carrying capacity</x:v>
      </x:c>
      <x:c r="G83" s="14" t="str">
        <x:v>Potential stakeholder for tourism-environment governance in Baltistan; verify official contacts.</x:v>
      </x:c>
      <x:c r="H83" s="14" t="str">
        <x:v>Not found</x:v>
      </x:c>
      <x:c r="I83" s="14" t="str">
        <x:v>Not found</x:v>
      </x:c>
      <x:c r="J83" s="14" t="str">
        <x:v>To be verified</x:v>
      </x:c>
      <x:c r="K83" s="14" t="str">
        <x:v>https://www.google.com/search?q=Baltistan+tourism+association+environment+waste</x:v>
      </x:c>
      <x:c r="L83" s="14" t="str">
        <x:v>Lead only</x:v>
      </x:c>
      <x:c r="M83" s="14" t="str">
        <x:v>Tourism waste, carrying capacity</x:v>
      </x:c>
      <x:c r="N83" s="14" t="str">
        <x:v>Medium</x:v>
      </x:c>
      <x:c r="O83" s="14" t="str">
        <x:v>Important for tourism impacts.</x:v>
      </x:c>
    </x:row>
    <x:row r="84" ht="42" customHeight="1">
      <x:c r="A84" s="14" t="n">
        <x:v>83</x:v>
      </x:c>
      <x:c r="B84" s="14" t="str">
        <x:v>Gilgit-Baltistan</x:v>
      </x:c>
      <x:c r="C84" s="14" t="str">
        <x:v>Gilgit / Hunza</x:v>
      </x:c>
      <x:c r="D84" s="14" t="str">
        <x:v>Community-led glacier grafting / ice stupa groups</x:v>
      </x:c>
      <x:c r="E84" s="14" t="str">
        <x:v>Community climate adaptation</x:v>
      </x:c>
      <x:c r="F84" s="14" t="str">
        <x:v>Water conservation, climate adaptation</x:v>
      </x:c>
      <x:c r="G84" s="14" t="str">
        <x:v>UNDP/adaptation source describes indigenous practices like glacier grafting and ice stupas in GB.</x:v>
      </x:c>
      <x:c r="H84" s="14" t="str">
        <x:v>Not found</x:v>
      </x:c>
      <x:c r="I84" s="14" t="str">
        <x:v>Not found</x:v>
      </x:c>
      <x:c r="J84" s="14" t="str">
        <x:v>https://www.adaptation-undp.org/resources/videos/indigenous-innovative-practices-water-conservation-gilgit-baltistan</x:v>
      </x:c>
      <x:c r="K84" s="14" t="str">
        <x:v>https://www.adaptation-undp.org/resources/videos/indigenous-innovative-practices-water-conservation-gilgit-baltistan</x:v>
      </x:c>
      <x:c r="L84" s="14" t="str">
        <x:v>Thematic source</x:v>
      </x:c>
      <x:c r="M84" s="14" t="str">
        <x:v>Water scarcity, climate adaptation</x:v>
      </x:c>
      <x:c r="N84" s="14" t="str">
        <x:v>High</x:v>
      </x:c>
      <x:c r="O84" s="14" t="str">
        <x:v>Map village groups and implementers.</x:v>
      </x:c>
    </x:row>
    <x:row r="85" ht="42" customHeight="1">
      <x:c r="A85" s="14" t="n">
        <x:v>84</x:v>
      </x:c>
      <x:c r="B85" s="14" t="str">
        <x:v>Cross-border / Regional</x:v>
      </x:c>
      <x:c r="C85" s="14" t="str">
        <x:v>Western Himalaya</x:v>
      </x:c>
      <x:c r="D85" s="14" t="str">
        <x:v>ICIMOD</x:v>
      </x:c>
      <x:c r="E85" s="14" t="str">
        <x:v>Regional knowledge institution</x:v>
      </x:c>
      <x:c r="F85" s="14" t="str">
        <x:v>Climate, mountains, cryosphere, water</x:v>
      </x:c>
      <x:c r="G85" s="14" t="str">
        <x:v>Supports climate reporting/capacity in GB and broader Hindu Kush Himalaya evidence base.</x:v>
      </x:c>
      <x:c r="H85" s="14" t="str">
        <x:v>Not found</x:v>
      </x:c>
      <x:c r="I85" s="14" t="str">
        <x:v>Not found</x:v>
      </x:c>
      <x:c r="J85" s="14" t="str">
        <x:v>https://www.icimod.org/</x:v>
      </x:c>
      <x:c r="K85" s="14" t="str">
        <x:v>https://www.icimod.org/capacity-building-workshop-for-journalists-on-environment-and-climate-reporting-in-gilgit-baltistan/</x:v>
      </x:c>
      <x:c r="L85" s="14" t="str">
        <x:v>Official source</x:v>
      </x:c>
      <x:c r="M85" s="14" t="str">
        <x:v>Regional climate intelligence, training</x:v>
      </x:c>
      <x:c r="N85" s="14" t="str">
        <x:v>Medium</x:v>
      </x:c>
      <x:c r="O85" s="14" t="str">
        <x:v>Not NGO in narrow sense.</x:v>
      </x:c>
    </x:row>
    <x:row r="86" ht="42" customHeight="1">
      <x:c r="A86" s="14" t="n">
        <x:v>85</x:v>
      </x:c>
      <x:c r="B86" s="14" t="str">
        <x:v>Cross-border / Regional</x:v>
      </x:c>
      <x:c r="C86" s="14" t="str">
        <x:v>Himalayan region</x:v>
      </x:c>
      <x:c r="D86" s="14" t="str">
        <x:v>UNDP GEF Small Grants / Adaptation networks</x:v>
      </x:c>
      <x:c r="E86" s="14" t="str">
        <x:v>International development programme</x:v>
      </x:c>
      <x:c r="F86" s="14" t="str">
        <x:v>Climate adaptation, GLOF, water, biodiversity</x:v>
      </x:c>
      <x:c r="G86" s="14" t="str">
        <x:v>Relevant for grant-mapping and local implementer discovery across Kashmir-Himalaya regions.</x:v>
      </x:c>
      <x:c r="H86" s="14" t="str">
        <x:v>Not found</x:v>
      </x:c>
      <x:c r="I86" s="14" t="str">
        <x:v>Not found</x:v>
      </x:c>
      <x:c r="J86" s="14" t="str">
        <x:v>https://www.undp.org/</x:v>
      </x:c>
      <x:c r="K86" s="14" t="str">
        <x:v>https://www.adaptation-undp.org/resources/videos/indigenous-innovative-practices-water-conservation-gilgit-baltistan</x:v>
      </x:c>
      <x:c r="L86" s="14" t="str">
        <x:v>Official source</x:v>
      </x:c>
      <x:c r="M86" s="14" t="str">
        <x:v>Funding/implementation mapping</x:v>
      </x:c>
      <x:c r="N86" s="14" t="str">
        <x:v>Medium</x:v>
      </x:c>
      <x:c r="O86" s="14" t="str">
        <x:v>Use to identify local grantees.</x:v>
      </x:c>
    </x:row>
    <x:row r="87" ht="42" customHeight="1">
      <x:c r="A87" s="14" t="n">
        <x:v>86</x:v>
      </x:c>
      <x:c r="B87" s="14" t="str">
        <x:v>Cross-border / Regional</x:v>
      </x:c>
      <x:c r="C87" s="14" t="str">
        <x:v>Himalayan region</x:v>
      </x:c>
      <x:c r="D87" s="14" t="str">
        <x:v>The Climate Reality Project India &amp; South Asia</x:v>
      </x:c>
      <x:c r="E87" s="14" t="str">
        <x:v>Climate advocacy organization</x:v>
      </x:c>
      <x:c r="F87" s="14" t="str">
        <x:v>Climate awareness, training</x:v>
      </x:c>
      <x:c r="G87" s="14" t="str">
        <x:v>Relevant to climate advocacy; Aadil Bhat linked with Climate Reality India &amp; South Asia in prior outreach.</x:v>
      </x:c>
      <x:c r="H87" s="14" t="str">
        <x:v>connect@climatereality.org.in</x:v>
      </x:c>
      <x:c r="I87" s="14" t="str">
        <x:v>Not found</x:v>
      </x:c>
      <x:c r="J87" s="14" t="str">
        <x:v>https://www.climatereality.org.in/</x:v>
      </x:c>
      <x:c r="K87" s="14" t="str">
        <x:v>https://www.instagram.com/p/DW6bstglMhc/</x:v>
      </x:c>
      <x:c r="L87" s="14" t="str">
        <x:v>Public org contact from prior search</x:v>
      </x:c>
      <x:c r="M87" s="14" t="str">
        <x:v>Climate communication, training</x:v>
      </x:c>
      <x:c r="N87" s="14" t="str">
        <x:v>Medium</x:v>
      </x:c>
      <x:c r="O87" s="14" t="str">
        <x:v>Regional, not Kashmir-specific.</x:v>
      </x:c>
    </x:row>
    <x:row r="88" ht="42" customHeight="1">
      <x:c r="A88" s="14" t="n">
        <x:v>87</x:v>
      </x:c>
      <x:c r="B88" s="14" t="str">
        <x:v>Cross-border / Regional</x:v>
      </x:c>
      <x:c r="C88" s="14" t="str">
        <x:v>India / J&amp;K</x:v>
      </x:c>
      <x:c r="D88" s="14" t="str">
        <x:v>Centre for Science and Environment (CSE)</x:v>
      </x:c>
      <x:c r="E88" s="14" t="str">
        <x:v>Policy research NGO</x:v>
      </x:c>
      <x:c r="F88" s="14" t="str">
        <x:v>Environment policy, pollution, water, climate</x:v>
      </x:c>
      <x:c r="G88" s="14" t="str">
        <x:v>National environmental policy organization; relevant for technical support, but not Kashmir-based.</x:v>
      </x:c>
      <x:c r="H88" s="14" t="str">
        <x:v>cse@cseindia.org</x:v>
      </x:c>
      <x:c r="I88" s="14" t="str">
        <x:v>Not found</x:v>
      </x:c>
      <x:c r="J88" s="14" t="str">
        <x:v>https://www.cseindia.org/</x:v>
      </x:c>
      <x:c r="K88" s="14" t="str">
        <x:v>https://www.cseindia.org/</x:v>
      </x:c>
      <x:c r="L88" s="14" t="str">
        <x:v>Official org general</x:v>
      </x:c>
      <x:c r="M88" s="14" t="str">
        <x:v>Policy research, training, media</x:v>
      </x:c>
      <x:c r="N88" s="14" t="str">
        <x:v>Medium</x:v>
      </x:c>
      <x:c r="O88" s="14" t="str">
        <x:v>Use as technical partner.</x:v>
      </x:c>
    </x:row>
    <x:row r="89" ht="42" customHeight="1">
      <x:c r="A89" s="14" t="n">
        <x:v>88</x:v>
      </x:c>
      <x:c r="B89" s="14" t="str">
        <x:v>Cross-border / Regional</x:v>
      </x:c>
      <x:c r="C89" s="14" t="str">
        <x:v>India / J&amp;K</x:v>
      </x:c>
      <x:c r="D89" s="14" t="str">
        <x:v>Down To Earth / environmental journalism network</x:v>
      </x:c>
      <x:c r="E89" s="14" t="str">
        <x:v>Media/research platform</x:v>
      </x:c>
      <x:c r="F89" s="14" t="str">
        <x:v>Environmental journalism, public accountability</x:v>
      </x:c>
      <x:c r="G89" s="14" t="str">
        <x:v>Environmental media source publishing Kashmir environment authors including Raja Muzaffar Bhat.</x:v>
      </x:c>
      <x:c r="H89" s="14" t="str">
        <x:v>Not found</x:v>
      </x:c>
      <x:c r="I89" s="14" t="str">
        <x:v>Not found</x:v>
      </x:c>
      <x:c r="J89" s="14" t="str">
        <x:v>https://www.downtoearth.org.in/</x:v>
      </x:c>
      <x:c r="K89" s="14" t="str">
        <x:v>https://www.downtoearth.org.in/author/raja-muzaffar-bhat</x:v>
      </x:c>
      <x:c r="L89" s="14" t="str">
        <x:v>Official media profile</x:v>
      </x:c>
      <x:c r="M89" s="14" t="str">
        <x:v>Media accountability, environmental data storytelling</x:v>
      </x:c>
      <x:c r="N89" s="14" t="str">
        <x:v>Medium</x:v>
      </x:c>
      <x:c r="O89" s="14" t="str">
        <x:v>Media stakeholder, not NGO.</x:v>
      </x:c>
    </x:row>
    <x:row r="90" ht="42" customHeight="1">
      <x:c r="A90" s="14" t="n">
        <x:v>89</x:v>
      </x:c>
      <x:c r="B90" s="14" t="str">
        <x:v>Cross-border / Regional</x:v>
      </x:c>
      <x:c r="C90" s="14" t="str">
        <x:v>India / J&amp;K</x:v>
      </x:c>
      <x:c r="D90" s="14" t="str">
        <x:v>Centre for Environment Education India</x:v>
      </x:c>
      <x:c r="E90" s="14" t="str">
        <x:v>Environmental education NGO</x:v>
      </x:c>
      <x:c r="F90" s="14" t="str">
        <x:v>Teacher training, school environment education</x:v>
      </x:c>
      <x:c r="G90" s="14" t="str">
        <x:v>CEE has J&amp;K programme partner references.</x:v>
      </x:c>
      <x:c r="H90" s="14" t="str">
        <x:v>Not found</x:v>
      </x:c>
      <x:c r="I90" s="14" t="str">
        <x:v>Not found</x:v>
      </x:c>
      <x:c r="J90" s="14" t="str">
        <x:v>https://www.ceeindia.org/</x:v>
      </x:c>
      <x:c r="K90" s="14" t="str">
        <x:v>https://www.ceeindia.org/programmes/pm-h.php</x:v>
      </x:c>
      <x:c r="L90" s="14" t="str">
        <x:v>Official source</x:v>
      </x:c>
      <x:c r="M90" s="14" t="str">
        <x:v>Environmental education, curriculum</x:v>
      </x:c>
      <x:c r="N90" s="14" t="str">
        <x:v>High</x:v>
      </x:c>
      <x:c r="O90" s="14" t="str">
        <x:v>Route through national office.</x:v>
      </x:c>
    </x:row>
    <x:row r="91" ht="42" customHeight="1">
      <x:c r="A91" s="14" t="n">
        <x:v>90</x:v>
      </x:c>
      <x:c r="B91" s="14" t="str">
        <x:v>Cross-border / Regional</x:v>
      </x:c>
      <x:c r="C91" s="14" t="str">
        <x:v>Pakistan / GB-AJK</x:v>
      </x:c>
      <x:c r="D91" s="14" t="str">
        <x:v>IUCN Pakistan</x:v>
      </x:c>
      <x:c r="E91" s="14" t="str">
        <x:v>International conservation union / NGO network</x:v>
      </x:c>
      <x:c r="F91" s="14" t="str">
        <x:v>Biodiversity, climate, policy</x:v>
      </x:c>
      <x:c r="G91" s="14" t="str">
        <x:v>Likely relevant to GB/AJK conservation; needs specific programme mapping.</x:v>
      </x:c>
      <x:c r="H91" s="14" t="str">
        <x:v>Not found</x:v>
      </x:c>
      <x:c r="I91" s="14" t="str">
        <x:v>Not found</x:v>
      </x:c>
      <x:c r="J91" s="14" t="str">
        <x:v>https://www.iucn.org/our-work/region/asia/countries/pakistan</x:v>
      </x:c>
      <x:c r="K91" s="14" t="str">
        <x:v>https://www.iucn.org/our-work/region/asia/countries/pakistan</x:v>
      </x:c>
      <x:c r="L91" s="14" t="str">
        <x:v>Official org lead</x:v>
      </x:c>
      <x:c r="M91" s="14" t="str">
        <x:v>Policy, protected areas, biodiversity</x:v>
      </x:c>
      <x:c r="N91" s="14" t="str">
        <x:v>Medium</x:v>
      </x:c>
      <x:c r="O91" s="14" t="str">
        <x:v>Not region-specific in this pass.</x:v>
      </x:c>
    </x:row>
    <x:row r="92" ht="42" customHeight="1">
      <x:c r="A92" s="14" t="n">
        <x:v>91</x:v>
      </x:c>
      <x:c r="B92" s="14" t="str">
        <x:v>Cross-border / Regional</x:v>
      </x:c>
      <x:c r="C92" s="14" t="str">
        <x:v>Pakistan / GB-AJK</x:v>
      </x:c>
      <x:c r="D92" s="14" t="str">
        <x:v>Leadership for Environment and Development (LEAD) Pakistan</x:v>
      </x:c>
      <x:c r="E92" s="14" t="str">
        <x:v>Policy NGO / climate think tank</x:v>
      </x:c>
      <x:c r="F92" s="14" t="str">
        <x:v>Climate adaptation, policy, resilience</x:v>
      </x:c>
      <x:c r="G92" s="14" t="str">
        <x:v>National climate policy actor relevant to AJK/GB climate governance.</x:v>
      </x:c>
      <x:c r="H92" s="14" t="str">
        <x:v>info@lead.org.pk</x:v>
      </x:c>
      <x:c r="I92" s="14" t="str">
        <x:v>Not found</x:v>
      </x:c>
      <x:c r="J92" s="14" t="str">
        <x:v>https://lead.org.pk/</x:v>
      </x:c>
      <x:c r="K92" s="14" t="str">
        <x:v>https://lead.org.pk/</x:v>
      </x:c>
      <x:c r="L92" s="14" t="str">
        <x:v>Official org lead</x:v>
      </x:c>
      <x:c r="M92" s="14" t="str">
        <x:v>Climate policy, adaptation planning</x:v>
      </x:c>
      <x:c r="N92" s="14" t="str">
        <x:v>Medium</x:v>
      </x:c>
      <x:c r="O92" s="14" t="str">
        <x:v>Verify regional projects.</x:v>
      </x:c>
    </x:row>
    <x:row r="93" ht="42" customHeight="1">
      <x:c r="A93" s="14" t="n">
        <x:v>92</x:v>
      </x:c>
      <x:c r="B93" s="14" t="str">
        <x:v>Cross-border / Regional</x:v>
      </x:c>
      <x:c r="C93" s="14" t="str">
        <x:v>Pakistan / GB-AJK</x:v>
      </x:c>
      <x:c r="D93" s="14" t="str">
        <x:v>Sustainable Development Policy Institute (SDPI)</x:v>
      </x:c>
      <x:c r="E93" s="14" t="str">
        <x:v>Policy think tank</x:v>
      </x:c>
      <x:c r="F93" s="14" t="str">
        <x:v>Climate policy, environment, development</x:v>
      </x:c>
      <x:c r="G93" s="14" t="str">
        <x:v>Relevant for policy support and climate governance; not GB/AJK-specific in this pass.</x:v>
      </x:c>
      <x:c r="H93" s="14" t="str">
        <x:v>main@sdpi.org</x:v>
      </x:c>
      <x:c r="I93" s="14" t="str">
        <x:v>Not found</x:v>
      </x:c>
      <x:c r="J93" s="14" t="str">
        <x:v>https://sdpi.org/</x:v>
      </x:c>
      <x:c r="K93" s="14" t="str">
        <x:v>https://sdpi.org/</x:v>
      </x:c>
      <x:c r="L93" s="14" t="str">
        <x:v>Official org lead</x:v>
      </x:c>
      <x:c r="M93" s="14" t="str">
        <x:v>Policy research, legislative briefs</x:v>
      </x:c>
      <x:c r="N93" s="14" t="str">
        <x:v>Low</x:v>
      </x:c>
      <x:c r="O93" s="14" t="str">
        <x:v>National technical partner.</x:v>
      </x:c>
    </x:row>
    <x:row r="94" ht="42" customHeight="1">
      <x:c r="A94" s="14" t="n">
        <x:v>93</x:v>
      </x:c>
      <x:c r="B94" s="14" t="str">
        <x:v>Cross-border / Regional</x:v>
      </x:c>
      <x:c r="C94" s="14" t="str">
        <x:v>India / Ladakh-J&amp;K</x:v>
      </x:c>
      <x:c r="D94" s="14" t="str">
        <x:v>Wildlife Trust of India</x:v>
      </x:c>
      <x:c r="E94" s="14" t="str">
        <x:v>Conservation NGO</x:v>
      </x:c>
      <x:c r="F94" s="14" t="str">
        <x:v>Wildlife rescue, conflict, species conservation</x:v>
      </x:c>
      <x:c r="G94" s="14" t="str">
        <x:v>Potential J&amp;K/Ladakh wildlife partner; needs current regional project verification.</x:v>
      </x:c>
      <x:c r="H94" s="14" t="str">
        <x:v>info@wti.org.in</x:v>
      </x:c>
      <x:c r="I94" s="14" t="str">
        <x:v>Not found</x:v>
      </x:c>
      <x:c r="J94" s="14" t="str">
        <x:v>https://www.wti.org.in/</x:v>
      </x:c>
      <x:c r="K94" s="14" t="str">
        <x:v>https://www.wti.org.in/</x:v>
      </x:c>
      <x:c r="L94" s="14" t="str">
        <x:v>Official org lead</x:v>
      </x:c>
      <x:c r="M94" s="14" t="str">
        <x:v>Wildlife conflict, rescue, corridors</x:v>
      </x:c>
      <x:c r="N94" s="14" t="str">
        <x:v>Medium</x:v>
      </x:c>
      <x:c r="O94" s="14" t="str">
        <x:v>National partner.</x:v>
      </x:c>
    </x:row>
    <x:row r="95" ht="42" customHeight="1">
      <x:c r="A95" s="14" t="n">
        <x:v>94</x:v>
      </x:c>
      <x:c r="B95" s="14" t="str">
        <x:v>Cross-border / Regional</x:v>
      </x:c>
      <x:c r="C95" s="14" t="str">
        <x:v>India / J&amp;K-Ladakh</x:v>
      </x:c>
      <x:c r="D95" s="14" t="str">
        <x:v>Wildlife SOS</x:v>
      </x:c>
      <x:c r="E95" s="14" t="str">
        <x:v>NGO / wildlife rescue</x:v>
      </x:c>
      <x:c r="F95" s="14" t="str">
        <x:v>Human-wildlife conflict, rescue</x:v>
      </x:c>
      <x:c r="G95" s="14" t="str">
        <x:v>Potential J&amp;K/Ladakh wildlife rescue partner; needs local verification.</x:v>
      </x:c>
      <x:c r="H95" s="14" t="str">
        <x:v>info@wildlifesos.org</x:v>
      </x:c>
      <x:c r="I95" s="14" t="str">
        <x:v>Not found</x:v>
      </x:c>
      <x:c r="J95" s="14" t="str">
        <x:v>https://wildlifesos.org/</x:v>
      </x:c>
      <x:c r="K95" s="14" t="str">
        <x:v>https://wildlifesos.org/</x:v>
      </x:c>
      <x:c r="L95" s="14" t="str">
        <x:v>Official org lead</x:v>
      </x:c>
      <x:c r="M95" s="14" t="str">
        <x:v>Wildlife rescue, education</x:v>
      </x:c>
      <x:c r="N95" s="14" t="str">
        <x:v>Low</x:v>
      </x:c>
      <x:c r="O95" s="14" t="str">
        <x:v>Verify local operations.</x:v>
      </x:c>
    </x:row>
    <x:row r="96" ht="42" customHeight="1">
      <x:c r="A96" s="14" t="n">
        <x:v>95</x:v>
      </x:c>
      <x:c r="B96" s="14" t="str">
        <x:v>Cross-border / Regional</x:v>
      </x:c>
      <x:c r="C96" s="14" t="str">
        <x:v>India / J&amp;K</x:v>
      </x:c>
      <x:c r="D96" s="14" t="str">
        <x:v>People for Animals networks</x:v>
      </x:c>
      <x:c r="E96" s="14" t="str">
        <x:v>Animal welfare NGO network</x:v>
      </x:c>
      <x:c r="F96" s="14" t="str">
        <x:v>Animal welfare, urban ecology</x:v>
      </x:c>
      <x:c r="G96" s="14" t="str">
        <x:v>Potential partner for stray dog and animal welfare issues across J&amp;K.</x:v>
      </x:c>
      <x:c r="H96" s="14" t="str">
        <x:v>Not found</x:v>
      </x:c>
      <x:c r="I96" s="14" t="str">
        <x:v>Not found</x:v>
      </x:c>
      <x:c r="J96" s="14" t="str">
        <x:v>https://www.peopleforanimalsindia.org/</x:v>
      </x:c>
      <x:c r="K96" s="14" t="str">
        <x:v>https://www.peopleforanimalsindia.org/</x:v>
      </x:c>
      <x:c r="L96" s="14" t="str">
        <x:v>Official org lead</x:v>
      </x:c>
      <x:c r="M96" s="14" t="str">
        <x:v>Animal welfare, urban ecology</x:v>
      </x:c>
      <x:c r="N96" s="14" t="str">
        <x:v>Low</x:v>
      </x:c>
      <x:c r="O96" s="14" t="str">
        <x:v>Find local chapter contacts.</x:v>
      </x:c>
    </x:row>
    <x:row r="97" ht="42" customHeight="1">
      <x:c r="A97" s="14" t="n">
        <x:v>96</x:v>
      </x:c>
      <x:c r="B97" s="14" t="str">
        <x:v>Cross-border / Regional</x:v>
      </x:c>
      <x:c r="C97" s="14" t="str">
        <x:v>India / Himalaya</x:v>
      </x:c>
      <x:c r="D97" s="14" t="str">
        <x:v>ATREE</x:v>
      </x:c>
      <x:c r="E97" s="14" t="str">
        <x:v>Research NGO</x:v>
      </x:c>
      <x:c r="F97" s="14" t="str">
        <x:v>Biodiversity, water, climate, conservation science</x:v>
      </x:c>
      <x:c r="G97" s="14" t="str">
        <x:v>National research NGO; potential technical partner for KEW evidence framework.</x:v>
      </x:c>
      <x:c r="H97" s="14" t="str">
        <x:v>info@atree.org</x:v>
      </x:c>
      <x:c r="I97" s="14" t="str">
        <x:v>Not found</x:v>
      </x:c>
      <x:c r="J97" s="14" t="str">
        <x:v>https://www.atree.org/</x:v>
      </x:c>
      <x:c r="K97" s="14" t="str">
        <x:v>https://www.atree.org/</x:v>
      </x:c>
      <x:c r="L97" s="14" t="str">
        <x:v>Official org lead</x:v>
      </x:c>
      <x:c r="M97" s="14" t="str">
        <x:v>Biodiversity, water, climate science</x:v>
      </x:c>
      <x:c r="N97" s="14" t="str">
        <x:v>Medium</x:v>
      </x:c>
      <x:c r="O97" s="14" t="str">
        <x:v>Not Kashmir-specific in this pass.</x:v>
      </x:c>
    </x:row>
    <x:row r="98" ht="42" customHeight="1">
      <x:c r="A98" s="14" t="n">
        <x:v>97</x:v>
      </x:c>
      <x:c r="B98" s="14" t="str">
        <x:v>Cross-border / Regional</x:v>
      </x:c>
      <x:c r="C98" s="14" t="str">
        <x:v>India / Himalaya</x:v>
      </x:c>
      <x:c r="D98" s="14" t="str">
        <x:v>WII / research collaborators</x:v>
      </x:c>
      <x:c r="E98" s="14" t="str">
        <x:v>Government research institute</x:v>
      </x:c>
      <x:c r="F98" s="14" t="str">
        <x:v>Wildlife science, ecology</x:v>
      </x:c>
      <x:c r="G98" s="14" t="str">
        <x:v>Not NGO but essential science partner for wildlife and protected areas.</x:v>
      </x:c>
      <x:c r="H98" s="14" t="str">
        <x:v>Not found</x:v>
      </x:c>
      <x:c r="I98" s="14" t="str">
        <x:v>Not found</x:v>
      </x:c>
      <x:c r="J98" s="14" t="str">
        <x:v>https://wii.gov.in/</x:v>
      </x:c>
      <x:c r="K98" s="14" t="str">
        <x:v>https://wii.gov.in/</x:v>
      </x:c>
      <x:c r="L98" s="14" t="str">
        <x:v>Official institutional lead</x:v>
      </x:c>
      <x:c r="M98" s="14" t="str">
        <x:v>Wildlife monitoring, research methods</x:v>
      </x:c>
      <x:c r="N98" s="14" t="str">
        <x:v>Low</x:v>
      </x:c>
      <x:c r="O98" s="14" t="str">
        <x:v>Use for technical support.</x:v>
      </x:c>
    </x:row>
    <x:row r="99" ht="42" customHeight="1">
      <x:c r="A99" s="14" t="n">
        <x:v>98</x:v>
      </x:c>
      <x:c r="B99" s="14" t="str">
        <x:v>Kashmir Valley</x:v>
      </x:c>
      <x:c r="C99" s="14" t="str">
        <x:v>Srinagar</x:v>
      </x:c>
      <x:c r="D99" s="14" t="str">
        <x:v>Srinagar Municipal sanitation volunteer networks</x:v>
      </x:c>
      <x:c r="E99" s="14" t="str">
        <x:v>Community/CBO lead to verify</x:v>
      </x:c>
      <x:c r="F99" s="14" t="str">
        <x:v>Solid waste, public cleanliness</x:v>
      </x:c>
      <x:c r="G99" s="14" t="str">
        <x:v>Issue-based stakeholder cluster identified for deeper field verification; not yet a verified registered NGO.</x:v>
      </x:c>
      <x:c r="H99" s="14" t="str">
        <x:v>Not found</x:v>
      </x:c>
      <x:c r="I99" s="14" t="str">
        <x:v>Not found</x:v>
      </x:c>
      <x:c r="J99" s="14" t="str">
        <x:v>To be verified</x:v>
      </x:c>
      <x:c r="K99" s="14" t="str">
        <x:v>Desk-mining lead; requires local validation</x:v>
      </x:c>
      <x:c r="L99" s="14" t="str">
        <x:v>Lead / not yet verified</x:v>
      </x:c>
      <x:c r="M99" s="14" t="str">
        <x:v>District registry expansion</x:v>
      </x:c>
      <x:c r="N99" s="14" t="str">
        <x:v>Lead</x:v>
      </x:c>
      <x:c r="O99" s="14" t="str">
        <x:v>Use for Phase-2 field calls and district social search.</x:v>
      </x:c>
    </x:row>
    <x:row r="100" ht="42" customHeight="1">
      <x:c r="A100" s="14" t="n">
        <x:v>99</x:v>
      </x:c>
      <x:c r="B100" s="14" t="str">
        <x:v>Kashmir Valley</x:v>
      </x:c>
      <x:c r="C100" s="14" t="str">
        <x:v>Dal Lake</x:v>
      </x:c>
      <x:c r="D100" s="14" t="str">
        <x:v>Dal dwellers / houseboat environmental associations</x:v>
      </x:c>
      <x:c r="E100" s="14" t="str">
        <x:v>Community/CBO lead to verify</x:v>
      </x:c>
      <x:c r="F100" s="14" t="str">
        <x:v>Lake waste, livelihoods, sewage interface</x:v>
      </x:c>
      <x:c r="G100" s="14" t="str">
        <x:v>Issue-based stakeholder cluster identified for deeper field verification; not yet a verified registered NGO.</x:v>
      </x:c>
      <x:c r="H100" s="14" t="str">
        <x:v>Not found</x:v>
      </x:c>
      <x:c r="I100" s="14" t="str">
        <x:v>Not found</x:v>
      </x:c>
      <x:c r="J100" s="14" t="str">
        <x:v>To be verified</x:v>
      </x:c>
      <x:c r="K100" s="14" t="str">
        <x:v>Desk-mining lead; requires local validation</x:v>
      </x:c>
      <x:c r="L100" s="14" t="str">
        <x:v>Lead / not yet verified</x:v>
      </x:c>
      <x:c r="M100" s="14" t="str">
        <x:v>District registry expansion</x:v>
      </x:c>
      <x:c r="N100" s="14" t="str">
        <x:v>Lead</x:v>
      </x:c>
      <x:c r="O100" s="14" t="str">
        <x:v>Use for Phase-2 field calls and district social search.</x:v>
      </x:c>
    </x:row>
    <x:row r="101" ht="42" customHeight="1">
      <x:c r="A101" s="14" t="n">
        <x:v>100</x:v>
      </x:c>
      <x:c r="B101" s="14" t="str">
        <x:v>Kashmir Valley</x:v>
      </x:c>
      <x:c r="C101" s="14" t="str">
        <x:v>Dal Lake</x:v>
      </x:c>
      <x:c r="D101" s="14" t="str">
        <x:v>Houseboat Owners Association environmental wing candidate</x:v>
      </x:c>
      <x:c r="E101" s="14" t="str">
        <x:v>Community/CBO lead to verify</x:v>
      </x:c>
      <x:c r="F101" s="14" t="str">
        <x:v>Tourism waste and lake stewardship</x:v>
      </x:c>
      <x:c r="G101" s="14" t="str">
        <x:v>Issue-based stakeholder cluster identified for deeper field verification; not yet a verified registered NGO.</x:v>
      </x:c>
      <x:c r="H101" s="14" t="str">
        <x:v>Not found</x:v>
      </x:c>
      <x:c r="I101" s="14" t="str">
        <x:v>Not found</x:v>
      </x:c>
      <x:c r="J101" s="14" t="str">
        <x:v>To be verified</x:v>
      </x:c>
      <x:c r="K101" s="14" t="str">
        <x:v>Desk-mining lead; requires local validation</x:v>
      </x:c>
      <x:c r="L101" s="14" t="str">
        <x:v>Lead / not yet verified</x:v>
      </x:c>
      <x:c r="M101" s="14" t="str">
        <x:v>District registry expansion</x:v>
      </x:c>
      <x:c r="N101" s="14" t="str">
        <x:v>Lead</x:v>
      </x:c>
      <x:c r="O101" s="14" t="str">
        <x:v>Use for Phase-2 field calls and district social search.</x:v>
      </x:c>
    </x:row>
    <x:row r="102" ht="42" customHeight="1">
      <x:c r="A102" s="14" t="n">
        <x:v>101</x:v>
      </x:c>
      <x:c r="B102" s="14" t="str">
        <x:v>Kashmir Valley</x:v>
      </x:c>
      <x:c r="C102" s="14" t="str">
        <x:v>Dal Lake</x:v>
      </x:c>
      <x:c r="D102" s="14" t="str">
        <x:v>Shikara union environmental stewardship candidate</x:v>
      </x:c>
      <x:c r="E102" s="14" t="str">
        <x:v>Community/CBO lead to verify</x:v>
      </x:c>
      <x:c r="F102" s="14" t="str">
        <x:v>Lake stewardship, waste reduction</x:v>
      </x:c>
      <x:c r="G102" s="14" t="str">
        <x:v>Issue-based stakeholder cluster identified for deeper field verification; not yet a verified registered NGO.</x:v>
      </x:c>
      <x:c r="H102" s="14" t="str">
        <x:v>Not found</x:v>
      </x:c>
      <x:c r="I102" s="14" t="str">
        <x:v>Not found</x:v>
      </x:c>
      <x:c r="J102" s="14" t="str">
        <x:v>To be verified</x:v>
      </x:c>
      <x:c r="K102" s="14" t="str">
        <x:v>Desk-mining lead; requires local validation</x:v>
      </x:c>
      <x:c r="L102" s="14" t="str">
        <x:v>Lead / not yet verified</x:v>
      </x:c>
      <x:c r="M102" s="14" t="str">
        <x:v>District registry expansion</x:v>
      </x:c>
      <x:c r="N102" s="14" t="str">
        <x:v>Lead</x:v>
      </x:c>
      <x:c r="O102" s="14" t="str">
        <x:v>Use for Phase-2 field calls and district social search.</x:v>
      </x:c>
    </x:row>
    <x:row r="103" ht="42" customHeight="1">
      <x:c r="A103" s="14" t="n">
        <x:v>102</x:v>
      </x:c>
      <x:c r="B103" s="14" t="str">
        <x:v>Kashmir Valley</x:v>
      </x:c>
      <x:c r="C103" s="14" t="str">
        <x:v>Bandipora / Wular</x:v>
      </x:c>
      <x:c r="D103" s="14" t="str">
        <x:v>Wular conservation local fisher groups</x:v>
      </x:c>
      <x:c r="E103" s="14" t="str">
        <x:v>Community/CBO lead to verify</x:v>
      </x:c>
      <x:c r="F103" s="14" t="str">
        <x:v>Wetland, fisheries, livelihoods</x:v>
      </x:c>
      <x:c r="G103" s="14" t="str">
        <x:v>Issue-based stakeholder cluster identified for deeper field verification; not yet a verified registered NGO.</x:v>
      </x:c>
      <x:c r="H103" s="14" t="str">
        <x:v>Not found</x:v>
      </x:c>
      <x:c r="I103" s="14" t="str">
        <x:v>Not found</x:v>
      </x:c>
      <x:c r="J103" s="14" t="str">
        <x:v>To be verified</x:v>
      </x:c>
      <x:c r="K103" s="14" t="str">
        <x:v>Desk-mining lead; requires local validation</x:v>
      </x:c>
      <x:c r="L103" s="14" t="str">
        <x:v>Lead / not yet verified</x:v>
      </x:c>
      <x:c r="M103" s="14" t="str">
        <x:v>District registry expansion</x:v>
      </x:c>
      <x:c r="N103" s="14" t="str">
        <x:v>Lead</x:v>
      </x:c>
      <x:c r="O103" s="14" t="str">
        <x:v>Use for Phase-2 field calls and district social search.</x:v>
      </x:c>
    </x:row>
    <x:row r="104" ht="42" customHeight="1">
      <x:c r="A104" s="14" t="n">
        <x:v>103</x:v>
      </x:c>
      <x:c r="B104" s="14" t="str">
        <x:v>Kashmir Valley</x:v>
      </x:c>
      <x:c r="C104" s="14" t="str">
        <x:v>Srinagar / Budgam</x:v>
      </x:c>
      <x:c r="D104" s="14" t="str">
        <x:v>Hokersar wetland birdwatching/citizen science groups</x:v>
      </x:c>
      <x:c r="E104" s="14" t="str">
        <x:v>Community/CBO lead to verify</x:v>
      </x:c>
      <x:c r="F104" s="14" t="str">
        <x:v>Wetland birds, citizen science</x:v>
      </x:c>
      <x:c r="G104" s="14" t="str">
        <x:v>Issue-based stakeholder cluster identified for deeper field verification; not yet a verified registered NGO.</x:v>
      </x:c>
      <x:c r="H104" s="14" t="str">
        <x:v>Not found</x:v>
      </x:c>
      <x:c r="I104" s="14" t="str">
        <x:v>Not found</x:v>
      </x:c>
      <x:c r="J104" s="14" t="str">
        <x:v>To be verified</x:v>
      </x:c>
      <x:c r="K104" s="14" t="str">
        <x:v>Desk-mining lead; requires local validation</x:v>
      </x:c>
      <x:c r="L104" s="14" t="str">
        <x:v>Lead / not yet verified</x:v>
      </x:c>
      <x:c r="M104" s="14" t="str">
        <x:v>District registry expansion</x:v>
      </x:c>
      <x:c r="N104" s="14" t="str">
        <x:v>Lead</x:v>
      </x:c>
      <x:c r="O104" s="14" t="str">
        <x:v>Use for Phase-2 field calls and district social search.</x:v>
      </x:c>
    </x:row>
    <x:row r="105" ht="42" customHeight="1">
      <x:c r="A105" s="14" t="n">
        <x:v>104</x:v>
      </x:c>
      <x:c r="B105" s="14" t="str">
        <x:v>Kashmir Valley</x:v>
      </x:c>
      <x:c r="C105" s="14" t="str">
        <x:v>Srinagar / Ganderbal</x:v>
      </x:c>
      <x:c r="D105" s="14" t="str">
        <x:v>Anchar Lake community groups</x:v>
      </x:c>
      <x:c r="E105" s="14" t="str">
        <x:v>Community/CBO lead to verify</x:v>
      </x:c>
      <x:c r="F105" s="14" t="str">
        <x:v>Lake restoration, waste</x:v>
      </x:c>
      <x:c r="G105" s="14" t="str">
        <x:v>Issue-based stakeholder cluster identified for deeper field verification; not yet a verified registered NGO.</x:v>
      </x:c>
      <x:c r="H105" s="14" t="str">
        <x:v>Not found</x:v>
      </x:c>
      <x:c r="I105" s="14" t="str">
        <x:v>Not found</x:v>
      </x:c>
      <x:c r="J105" s="14" t="str">
        <x:v>To be verified</x:v>
      </x:c>
      <x:c r="K105" s="14" t="str">
        <x:v>Desk-mining lead; requires local validation</x:v>
      </x:c>
      <x:c r="L105" s="14" t="str">
        <x:v>Lead / not yet verified</x:v>
      </x:c>
      <x:c r="M105" s="14" t="str">
        <x:v>District registry expansion</x:v>
      </x:c>
      <x:c r="N105" s="14" t="str">
        <x:v>Lead</x:v>
      </x:c>
      <x:c r="O105" s="14" t="str">
        <x:v>Use for Phase-2 field calls and district social search.</x:v>
      </x:c>
    </x:row>
    <x:row r="106" ht="42" customHeight="1">
      <x:c r="A106" s="14" t="n">
        <x:v>105</x:v>
      </x:c>
      <x:c r="B106" s="14" t="str">
        <x:v>Kashmir Valley</x:v>
      </x:c>
      <x:c r="C106" s="14" t="str">
        <x:v>Srinagar</x:v>
      </x:c>
      <x:c r="D106" s="14" t="str">
        <x:v>Brari Nambal restoration stakeholders</x:v>
      </x:c>
      <x:c r="E106" s="14" t="str">
        <x:v>Community/CBO lead to verify</x:v>
      </x:c>
      <x:c r="F106" s="14" t="str">
        <x:v>Urban wetland restoration</x:v>
      </x:c>
      <x:c r="G106" s="14" t="str">
        <x:v>Issue-based stakeholder cluster identified for deeper field verification; not yet a verified registered NGO.</x:v>
      </x:c>
      <x:c r="H106" s="14" t="str">
        <x:v>Not found</x:v>
      </x:c>
      <x:c r="I106" s="14" t="str">
        <x:v>Not found</x:v>
      </x:c>
      <x:c r="J106" s="14" t="str">
        <x:v>To be verified</x:v>
      </x:c>
      <x:c r="K106" s="14" t="str">
        <x:v>Desk-mining lead; requires local validation</x:v>
      </x:c>
      <x:c r="L106" s="14" t="str">
        <x:v>Lead / not yet verified</x:v>
      </x:c>
      <x:c r="M106" s="14" t="str">
        <x:v>District registry expansion</x:v>
      </x:c>
      <x:c r="N106" s="14" t="str">
        <x:v>Lead</x:v>
      </x:c>
      <x:c r="O106" s="14" t="str">
        <x:v>Use for Phase-2 field calls and district social search.</x:v>
      </x:c>
    </x:row>
    <x:row r="107" ht="42" customHeight="1">
      <x:c r="A107" s="14" t="n">
        <x:v>106</x:v>
      </x:c>
      <x:c r="B107" s="14" t="str">
        <x:v>Kashmir Valley</x:v>
      </x:c>
      <x:c r="C107" s="14" t="str">
        <x:v>Srinagar</x:v>
      </x:c>
      <x:c r="D107" s="14" t="str">
        <x:v>Achan landfill affected community groups</x:v>
      </x:c>
      <x:c r="E107" s="14" t="str">
        <x:v>Community/CBO lead to verify</x:v>
      </x:c>
      <x:c r="F107" s="14" t="str">
        <x:v>Solid waste, public health</x:v>
      </x:c>
      <x:c r="G107" s="14" t="str">
        <x:v>Issue-based stakeholder cluster identified for deeper field verification; not yet a verified registered NGO.</x:v>
      </x:c>
      <x:c r="H107" s="14" t="str">
        <x:v>Not found</x:v>
      </x:c>
      <x:c r="I107" s="14" t="str">
        <x:v>Not found</x:v>
      </x:c>
      <x:c r="J107" s="14" t="str">
        <x:v>To be verified</x:v>
      </x:c>
      <x:c r="K107" s="14" t="str">
        <x:v>Desk-mining lead; requires local validation</x:v>
      </x:c>
      <x:c r="L107" s="14" t="str">
        <x:v>Lead / not yet verified</x:v>
      </x:c>
      <x:c r="M107" s="14" t="str">
        <x:v>District registry expansion</x:v>
      </x:c>
      <x:c r="N107" s="14" t="str">
        <x:v>Lead</x:v>
      </x:c>
      <x:c r="O107" s="14" t="str">
        <x:v>Use for Phase-2 field calls and district social search.</x:v>
      </x:c>
    </x:row>
    <x:row r="108" ht="42" customHeight="1">
      <x:c r="A108" s="14" t="n">
        <x:v>107</x:v>
      </x:c>
      <x:c r="B108" s="14" t="str">
        <x:v>Kashmir Valley</x:v>
      </x:c>
      <x:c r="C108" s="14" t="str">
        <x:v>Shopian / Pulwama</x:v>
      </x:c>
      <x:c r="D108" s="14" t="str">
        <x:v>Apple orchard climate-resilience farmer groups</x:v>
      </x:c>
      <x:c r="E108" s="14" t="str">
        <x:v>Community/CBO lead to verify</x:v>
      </x:c>
      <x:c r="F108" s="14" t="str">
        <x:v>Climate adaptation, agroecology</x:v>
      </x:c>
      <x:c r="G108" s="14" t="str">
        <x:v>Issue-based stakeholder cluster identified for deeper field verification; not yet a verified registered NGO.</x:v>
      </x:c>
      <x:c r="H108" s="14" t="str">
        <x:v>Not found</x:v>
      </x:c>
      <x:c r="I108" s="14" t="str">
        <x:v>Not found</x:v>
      </x:c>
      <x:c r="J108" s="14" t="str">
        <x:v>To be verified</x:v>
      </x:c>
      <x:c r="K108" s="14" t="str">
        <x:v>Desk-mining lead; requires local validation</x:v>
      </x:c>
      <x:c r="L108" s="14" t="str">
        <x:v>Lead / not yet verified</x:v>
      </x:c>
      <x:c r="M108" s="14" t="str">
        <x:v>District registry expansion</x:v>
      </x:c>
      <x:c r="N108" s="14" t="str">
        <x:v>Lead</x:v>
      </x:c>
      <x:c r="O108" s="14" t="str">
        <x:v>Use for Phase-2 field calls and district social search.</x:v>
      </x:c>
    </x:row>
    <x:row r="109" ht="42" customHeight="1">
      <x:c r="A109" s="14" t="n">
        <x:v>108</x:v>
      </x:c>
      <x:c r="B109" s="14" t="str">
        <x:v>Kashmir Valley</x:v>
      </x:c>
      <x:c r="C109" s="14" t="str">
        <x:v>Pampore</x:v>
      </x:c>
      <x:c r="D109" s="14" t="str">
        <x:v>Pampore saffron climate-resilience producer networks</x:v>
      </x:c>
      <x:c r="E109" s="14" t="str">
        <x:v>Community/CBO lead to verify</x:v>
      </x:c>
      <x:c r="F109" s="14" t="str">
        <x:v>Water, climate, agroecology</x:v>
      </x:c>
      <x:c r="G109" s="14" t="str">
        <x:v>Issue-based stakeholder cluster identified for deeper field verification; not yet a verified registered NGO.</x:v>
      </x:c>
      <x:c r="H109" s="14" t="str">
        <x:v>Not found</x:v>
      </x:c>
      <x:c r="I109" s="14" t="str">
        <x:v>Not found</x:v>
      </x:c>
      <x:c r="J109" s="14" t="str">
        <x:v>To be verified</x:v>
      </x:c>
      <x:c r="K109" s="14" t="str">
        <x:v>Desk-mining lead; requires local validation</x:v>
      </x:c>
      <x:c r="L109" s="14" t="str">
        <x:v>Lead / not yet verified</x:v>
      </x:c>
      <x:c r="M109" s="14" t="str">
        <x:v>District registry expansion</x:v>
      </x:c>
      <x:c r="N109" s="14" t="str">
        <x:v>Lead</x:v>
      </x:c>
      <x:c r="O109" s="14" t="str">
        <x:v>Use for Phase-2 field calls and district social search.</x:v>
      </x:c>
    </x:row>
    <x:row r="110" ht="42" customHeight="1">
      <x:c r="A110" s="14" t="n">
        <x:v>109</x:v>
      </x:c>
      <x:c r="B110" s="14" t="str">
        <x:v>Kashmir Valley</x:v>
      </x:c>
      <x:c r="C110" s="14" t="str">
        <x:v>Srinagar / Jhelum</x:v>
      </x:c>
      <x:c r="D110" s="14" t="str">
        <x:v>Jhelum riverfront citizen groups</x:v>
      </x:c>
      <x:c r="E110" s="14" t="str">
        <x:v>Community/CBO lead to verify</x:v>
      </x:c>
      <x:c r="F110" s="14" t="str">
        <x:v>River restoration, flood risk</x:v>
      </x:c>
      <x:c r="G110" s="14" t="str">
        <x:v>Issue-based stakeholder cluster identified for deeper field verification; not yet a verified registered NGO.</x:v>
      </x:c>
      <x:c r="H110" s="14" t="str">
        <x:v>Not found</x:v>
      </x:c>
      <x:c r="I110" s="14" t="str">
        <x:v>Not found</x:v>
      </x:c>
      <x:c r="J110" s="14" t="str">
        <x:v>To be verified</x:v>
      </x:c>
      <x:c r="K110" s="14" t="str">
        <x:v>Desk-mining lead; requires local validation</x:v>
      </x:c>
      <x:c r="L110" s="14" t="str">
        <x:v>Lead / not yet verified</x:v>
      </x:c>
      <x:c r="M110" s="14" t="str">
        <x:v>District registry expansion</x:v>
      </x:c>
      <x:c r="N110" s="14" t="str">
        <x:v>Lead</x:v>
      </x:c>
      <x:c r="O110" s="14" t="str">
        <x:v>Use for Phase-2 field calls and district social search.</x:v>
      </x:c>
    </x:row>
    <x:row r="111" ht="42" customHeight="1">
      <x:c r="A111" s="14" t="n">
        <x:v>110</x:v>
      </x:c>
      <x:c r="B111" s="14" t="str">
        <x:v>Jammu Region</x:v>
      </x:c>
      <x:c r="C111" s="14" t="str">
        <x:v>Jammu / Tawi</x:v>
      </x:c>
      <x:c r="D111" s="14" t="str">
        <x:v>Tawi river citizen groups</x:v>
      </x:c>
      <x:c r="E111" s="14" t="str">
        <x:v>Community/CBO lead to verify</x:v>
      </x:c>
      <x:c r="F111" s="14" t="str">
        <x:v>River restoration, sand mining, waste</x:v>
      </x:c>
      <x:c r="G111" s="14" t="str">
        <x:v>Issue-based stakeholder cluster identified for deeper field verification; not yet a verified registered NGO.</x:v>
      </x:c>
      <x:c r="H111" s="14" t="str">
        <x:v>Not found</x:v>
      </x:c>
      <x:c r="I111" s="14" t="str">
        <x:v>Not found</x:v>
      </x:c>
      <x:c r="J111" s="14" t="str">
        <x:v>To be verified</x:v>
      </x:c>
      <x:c r="K111" s="14" t="str">
        <x:v>Desk-mining lead; requires local validation</x:v>
      </x:c>
      <x:c r="L111" s="14" t="str">
        <x:v>Lead / not yet verified</x:v>
      </x:c>
      <x:c r="M111" s="14" t="str">
        <x:v>District registry expansion</x:v>
      </x:c>
      <x:c r="N111" s="14" t="str">
        <x:v>Lead</x:v>
      </x:c>
      <x:c r="O111" s="14" t="str">
        <x:v>Use for Phase-2 field calls and district social search.</x:v>
      </x:c>
    </x:row>
    <x:row r="112" ht="42" customHeight="1">
      <x:c r="A112" s="14" t="n">
        <x:v>111</x:v>
      </x:c>
      <x:c r="B112" s="14" t="str">
        <x:v>Jammu Region</x:v>
      </x:c>
      <x:c r="C112" s="14" t="str">
        <x:v>Udhampur</x:v>
      </x:c>
      <x:c r="D112" s="14" t="str">
        <x:v>Devika river restoration civic groups</x:v>
      </x:c>
      <x:c r="E112" s="14" t="str">
        <x:v>Community/CBO lead to verify</x:v>
      </x:c>
      <x:c r="F112" s="14" t="str">
        <x:v>River restoration, cultural ecology</x:v>
      </x:c>
      <x:c r="G112" s="14" t="str">
        <x:v>Issue-based stakeholder cluster identified for deeper field verification; not yet a verified registered NGO.</x:v>
      </x:c>
      <x:c r="H112" s="14" t="str">
        <x:v>Not found</x:v>
      </x:c>
      <x:c r="I112" s="14" t="str">
        <x:v>Not found</x:v>
      </x:c>
      <x:c r="J112" s="14" t="str">
        <x:v>To be verified</x:v>
      </x:c>
      <x:c r="K112" s="14" t="str">
        <x:v>Desk-mining lead; requires local validation</x:v>
      </x:c>
      <x:c r="L112" s="14" t="str">
        <x:v>Lead / not yet verified</x:v>
      </x:c>
      <x:c r="M112" s="14" t="str">
        <x:v>District registry expansion</x:v>
      </x:c>
      <x:c r="N112" s="14" t="str">
        <x:v>Lead</x:v>
      </x:c>
      <x:c r="O112" s="14" t="str">
        <x:v>Use for Phase-2 field calls and district social search.</x:v>
      </x:c>
    </x:row>
    <x:row r="113" ht="42" customHeight="1">
      <x:c r="A113" s="14" t="n">
        <x:v>112</x:v>
      </x:c>
      <x:c r="B113" s="14" t="str">
        <x:v>Jammu Region</x:v>
      </x:c>
      <x:c r="C113" s="14" t="str">
        <x:v>Samba / Jammu</x:v>
      </x:c>
      <x:c r="D113" s="14" t="str">
        <x:v>Mansar-Surinsar lake community stakeholders</x:v>
      </x:c>
      <x:c r="E113" s="14" t="str">
        <x:v>Community/CBO lead to verify</x:v>
      </x:c>
      <x:c r="F113" s="14" t="str">
        <x:v>Lake conservation, tourism pressure</x:v>
      </x:c>
      <x:c r="G113" s="14" t="str">
        <x:v>Issue-based stakeholder cluster identified for deeper field verification; not yet a verified registered NGO.</x:v>
      </x:c>
      <x:c r="H113" s="14" t="str">
        <x:v>Not found</x:v>
      </x:c>
      <x:c r="I113" s="14" t="str">
        <x:v>Not found</x:v>
      </x:c>
      <x:c r="J113" s="14" t="str">
        <x:v>To be verified</x:v>
      </x:c>
      <x:c r="K113" s="14" t="str">
        <x:v>Desk-mining lead; requires local validation</x:v>
      </x:c>
      <x:c r="L113" s="14" t="str">
        <x:v>Lead / not yet verified</x:v>
      </x:c>
      <x:c r="M113" s="14" t="str">
        <x:v>District registry expansion</x:v>
      </x:c>
      <x:c r="N113" s="14" t="str">
        <x:v>Lead</x:v>
      </x:c>
      <x:c r="O113" s="14" t="str">
        <x:v>Use for Phase-2 field calls and district social search.</x:v>
      </x:c>
    </x:row>
    <x:row r="114" ht="42" customHeight="1">
      <x:c r="A114" s="14" t="n">
        <x:v>113</x:v>
      </x:c>
      <x:c r="B114" s="14" t="str">
        <x:v>Jammu Region</x:v>
      </x:c>
      <x:c r="C114" s="14" t="str">
        <x:v>Kishtwar</x:v>
      </x:c>
      <x:c r="D114" s="14" t="str">
        <x:v>Kishtwar biodiversity citizen groups</x:v>
      </x:c>
      <x:c r="E114" s="14" t="str">
        <x:v>Community/CBO lead to verify</x:v>
      </x:c>
      <x:c r="F114" s="14" t="str">
        <x:v>Biodiversity, forests, hydropower impact</x:v>
      </x:c>
      <x:c r="G114" s="14" t="str">
        <x:v>Issue-based stakeholder cluster identified for deeper field verification; not yet a verified registered NGO.</x:v>
      </x:c>
      <x:c r="H114" s="14" t="str">
        <x:v>Not found</x:v>
      </x:c>
      <x:c r="I114" s="14" t="str">
        <x:v>Not found</x:v>
      </x:c>
      <x:c r="J114" s="14" t="str">
        <x:v>To be verified</x:v>
      </x:c>
      <x:c r="K114" s="14" t="str">
        <x:v>Desk-mining lead; requires local validation</x:v>
      </x:c>
      <x:c r="L114" s="14" t="str">
        <x:v>Lead / not yet verified</x:v>
      </x:c>
      <x:c r="M114" s="14" t="str">
        <x:v>District registry expansion</x:v>
      </x:c>
      <x:c r="N114" s="14" t="str">
        <x:v>Lead</x:v>
      </x:c>
      <x:c r="O114" s="14" t="str">
        <x:v>Use for Phase-2 field calls and district social search.</x:v>
      </x:c>
    </x:row>
    <x:row r="115" ht="42" customHeight="1">
      <x:c r="A115" s="14" t="n">
        <x:v>114</x:v>
      </x:c>
      <x:c r="B115" s="14" t="str">
        <x:v>Jammu Region</x:v>
      </x:c>
      <x:c r="C115" s="14" t="str">
        <x:v>Doda / Bhaderwah</x:v>
      </x:c>
      <x:c r="D115" s="14" t="str">
        <x:v>Bhaderwah eco-development groups</x:v>
      </x:c>
      <x:c r="E115" s="14" t="str">
        <x:v>Community/CBO lead to verify</x:v>
      </x:c>
      <x:c r="F115" s="14" t="str">
        <x:v>Eco-tourism, forests, biodiversity</x:v>
      </x:c>
      <x:c r="G115" s="14" t="str">
        <x:v>Issue-based stakeholder cluster identified for deeper field verification; not yet a verified registered NGO.</x:v>
      </x:c>
      <x:c r="H115" s="14" t="str">
        <x:v>Not found</x:v>
      </x:c>
      <x:c r="I115" s="14" t="str">
        <x:v>Not found</x:v>
      </x:c>
      <x:c r="J115" s="14" t="str">
        <x:v>To be verified</x:v>
      </x:c>
      <x:c r="K115" s="14" t="str">
        <x:v>Desk-mining lead; requires local validation</x:v>
      </x:c>
      <x:c r="L115" s="14" t="str">
        <x:v>Lead / not yet verified</x:v>
      </x:c>
      <x:c r="M115" s="14" t="str">
        <x:v>District registry expansion</x:v>
      </x:c>
      <x:c r="N115" s="14" t="str">
        <x:v>Lead</x:v>
      </x:c>
      <x:c r="O115" s="14" t="str">
        <x:v>Use for Phase-2 field calls and district social search.</x:v>
      </x:c>
    </x:row>
    <x:row r="116" ht="42" customHeight="1">
      <x:c r="A116" s="14" t="n">
        <x:v>115</x:v>
      </x:c>
      <x:c r="B116" s="14" t="str">
        <x:v>Jammu Region</x:v>
      </x:c>
      <x:c r="C116" s="14" t="str">
        <x:v>Ramban / Doda / Kishtwar</x:v>
      </x:c>
      <x:c r="D116" s="14" t="str">
        <x:v>Chenab valley landslide/DRR community groups</x:v>
      </x:c>
      <x:c r="E116" s="14" t="str">
        <x:v>Community/CBO lead to verify</x:v>
      </x:c>
      <x:c r="F116" s="14" t="str">
        <x:v>Landslides, hydropower, disaster risk</x:v>
      </x:c>
      <x:c r="G116" s="14" t="str">
        <x:v>Issue-based stakeholder cluster identified for deeper field verification; not yet a verified registered NGO.</x:v>
      </x:c>
      <x:c r="H116" s="14" t="str">
        <x:v>Not found</x:v>
      </x:c>
      <x:c r="I116" s="14" t="str">
        <x:v>Not found</x:v>
      </x:c>
      <x:c r="J116" s="14" t="str">
        <x:v>To be verified</x:v>
      </x:c>
      <x:c r="K116" s="14" t="str">
        <x:v>Desk-mining lead; requires local validation</x:v>
      </x:c>
      <x:c r="L116" s="14" t="str">
        <x:v>Lead / not yet verified</x:v>
      </x:c>
      <x:c r="M116" s="14" t="str">
        <x:v>District registry expansion</x:v>
      </x:c>
      <x:c r="N116" s="14" t="str">
        <x:v>Lead</x:v>
      </x:c>
      <x:c r="O116" s="14" t="str">
        <x:v>Use for Phase-2 field calls and district social search.</x:v>
      </x:c>
    </x:row>
    <x:row r="117" ht="42" customHeight="1">
      <x:c r="A117" s="14" t="n">
        <x:v>116</x:v>
      </x:c>
      <x:c r="B117" s="14" t="str">
        <x:v>Jammu Region</x:v>
      </x:c>
      <x:c r="C117" s="14" t="str">
        <x:v>Reasi / Katra</x:v>
      </x:c>
      <x:c r="D117" s="14" t="str">
        <x:v>Katra pilgrimage waste management groups</x:v>
      </x:c>
      <x:c r="E117" s="14" t="str">
        <x:v>Community/CBO lead to verify</x:v>
      </x:c>
      <x:c r="F117" s="14" t="str">
        <x:v>Pilgrimage waste, carrying capacity</x:v>
      </x:c>
      <x:c r="G117" s="14" t="str">
        <x:v>Issue-based stakeholder cluster identified for deeper field verification; not yet a verified registered NGO.</x:v>
      </x:c>
      <x:c r="H117" s="14" t="str">
        <x:v>Not found</x:v>
      </x:c>
      <x:c r="I117" s="14" t="str">
        <x:v>Not found</x:v>
      </x:c>
      <x:c r="J117" s="14" t="str">
        <x:v>To be verified</x:v>
      </x:c>
      <x:c r="K117" s="14" t="str">
        <x:v>Desk-mining lead; requires local validation</x:v>
      </x:c>
      <x:c r="L117" s="14" t="str">
        <x:v>Lead / not yet verified</x:v>
      </x:c>
      <x:c r="M117" s="14" t="str">
        <x:v>District registry expansion</x:v>
      </x:c>
      <x:c r="N117" s="14" t="str">
        <x:v>Lead</x:v>
      </x:c>
      <x:c r="O117" s="14" t="str">
        <x:v>Use for Phase-2 field calls and district social search.</x:v>
      </x:c>
    </x:row>
    <x:row r="118" ht="42" customHeight="1">
      <x:c r="A118" s="14" t="n">
        <x:v>117</x:v>
      </x:c>
      <x:c r="B118" s="14" t="str">
        <x:v>Jammu Region</x:v>
      </x:c>
      <x:c r="C118" s="14" t="str">
        <x:v>Pir Panjal</x:v>
      </x:c>
      <x:c r="D118" s="14" t="str">
        <x:v>Pir Panjal high-altitude wetland community groups</x:v>
      </x:c>
      <x:c r="E118" s="14" t="str">
        <x:v>Community/CBO lead to verify</x:v>
      </x:c>
      <x:c r="F118" s="14" t="str">
        <x:v>Wetlands, alpine meadows</x:v>
      </x:c>
      <x:c r="G118" s="14" t="str">
        <x:v>Issue-based stakeholder cluster identified for deeper field verification; not yet a verified registered NGO.</x:v>
      </x:c>
      <x:c r="H118" s="14" t="str">
        <x:v>Not found</x:v>
      </x:c>
      <x:c r="I118" s="14" t="str">
        <x:v>Not found</x:v>
      </x:c>
      <x:c r="J118" s="14" t="str">
        <x:v>To be verified</x:v>
      </x:c>
      <x:c r="K118" s="14" t="str">
        <x:v>Desk-mining lead; requires local validation</x:v>
      </x:c>
      <x:c r="L118" s="14" t="str">
        <x:v>Lead / not yet verified</x:v>
      </x:c>
      <x:c r="M118" s="14" t="str">
        <x:v>District registry expansion</x:v>
      </x:c>
      <x:c r="N118" s="14" t="str">
        <x:v>Lead</x:v>
      </x:c>
      <x:c r="O118" s="14" t="str">
        <x:v>Use for Phase-2 field calls and district social search.</x:v>
      </x:c>
    </x:row>
    <x:row r="119" ht="42" customHeight="1">
      <x:c r="A119" s="14" t="n">
        <x:v>118</x:v>
      </x:c>
      <x:c r="B119" s="14" t="str">
        <x:v>Ladakh</x:v>
      </x:c>
      <x:c r="C119" s="14" t="str">
        <x:v>Changthang</x:v>
      </x:c>
      <x:c r="D119" s="14" t="str">
        <x:v>Changthang Wildlife Conservation community committees</x:v>
      </x:c>
      <x:c r="E119" s="14" t="str">
        <x:v>Community/CBO lead to verify</x:v>
      </x:c>
      <x:c r="F119" s="14" t="str">
        <x:v>Wetlands, black-necked crane, pastoralism</x:v>
      </x:c>
      <x:c r="G119" s="14" t="str">
        <x:v>Issue-based stakeholder cluster identified for deeper field verification; not yet a verified registered NGO.</x:v>
      </x:c>
      <x:c r="H119" s="14" t="str">
        <x:v>Not found</x:v>
      </x:c>
      <x:c r="I119" s="14" t="str">
        <x:v>Not found</x:v>
      </x:c>
      <x:c r="J119" s="14" t="str">
        <x:v>To be verified</x:v>
      </x:c>
      <x:c r="K119" s="14" t="str">
        <x:v>Desk-mining lead; requires local validation</x:v>
      </x:c>
      <x:c r="L119" s="14" t="str">
        <x:v>Lead / not yet verified</x:v>
      </x:c>
      <x:c r="M119" s="14" t="str">
        <x:v>District registry expansion</x:v>
      </x:c>
      <x:c r="N119" s="14" t="str">
        <x:v>Lead</x:v>
      </x:c>
      <x:c r="O119" s="14" t="str">
        <x:v>Use for Phase-2 field calls and district social search.</x:v>
      </x:c>
    </x:row>
    <x:row r="120" ht="42" customHeight="1">
      <x:c r="A120" s="14" t="n">
        <x:v>119</x:v>
      </x:c>
      <x:c r="B120" s="14" t="str">
        <x:v>Ladakh</x:v>
      </x:c>
      <x:c r="C120" s="14" t="str">
        <x:v>Tso Moriri</x:v>
      </x:c>
      <x:c r="D120" s="14" t="str">
        <x:v>Tso Moriri conservation stakeholders</x:v>
      </x:c>
      <x:c r="E120" s="14" t="str">
        <x:v>Community/CBO lead to verify</x:v>
      </x:c>
      <x:c r="F120" s="14" t="str">
        <x:v>High-altitude wetland, tourism, birds</x:v>
      </x:c>
      <x:c r="G120" s="14" t="str">
        <x:v>Issue-based stakeholder cluster identified for deeper field verification; not yet a verified registered NGO.</x:v>
      </x:c>
      <x:c r="H120" s="14" t="str">
        <x:v>Not found</x:v>
      </x:c>
      <x:c r="I120" s="14" t="str">
        <x:v>Not found</x:v>
      </x:c>
      <x:c r="J120" s="14" t="str">
        <x:v>To be verified</x:v>
      </x:c>
      <x:c r="K120" s="14" t="str">
        <x:v>Desk-mining lead; requires local validation</x:v>
      </x:c>
      <x:c r="L120" s="14" t="str">
        <x:v>Lead / not yet verified</x:v>
      </x:c>
      <x:c r="M120" s="14" t="str">
        <x:v>District registry expansion</x:v>
      </x:c>
      <x:c r="N120" s="14" t="str">
        <x:v>Lead</x:v>
      </x:c>
      <x:c r="O120" s="14" t="str">
        <x:v>Use for Phase-2 field calls and district social search.</x:v>
      </x:c>
    </x:row>
    <x:row r="121" ht="42" customHeight="1">
      <x:c r="A121" s="14" t="n">
        <x:v>120</x:v>
      </x:c>
      <x:c r="B121" s="14" t="str">
        <x:v>Ladakh</x:v>
      </x:c>
      <x:c r="C121" s="14" t="str">
        <x:v>Pangong</x:v>
      </x:c>
      <x:c r="D121" s="14" t="str">
        <x:v>Pangong lake conservation stakeholders</x:v>
      </x:c>
      <x:c r="E121" s="14" t="str">
        <x:v>Community/CBO lead to verify</x:v>
      </x:c>
      <x:c r="F121" s="14" t="str">
        <x:v>Tourism footprint, waste, wetland ecology</x:v>
      </x:c>
      <x:c r="G121" s="14" t="str">
        <x:v>Issue-based stakeholder cluster identified for deeper field verification; not yet a verified registered NGO.</x:v>
      </x:c>
      <x:c r="H121" s="14" t="str">
        <x:v>Not found</x:v>
      </x:c>
      <x:c r="I121" s="14" t="str">
        <x:v>Not found</x:v>
      </x:c>
      <x:c r="J121" s="14" t="str">
        <x:v>To be verified</x:v>
      </x:c>
      <x:c r="K121" s="14" t="str">
        <x:v>Desk-mining lead; requires local validation</x:v>
      </x:c>
      <x:c r="L121" s="14" t="str">
        <x:v>Lead / not yet verified</x:v>
      </x:c>
      <x:c r="M121" s="14" t="str">
        <x:v>District registry expansion</x:v>
      </x:c>
      <x:c r="N121" s="14" t="str">
        <x:v>Lead</x:v>
      </x:c>
      <x:c r="O121" s="14" t="str">
        <x:v>Use for Phase-2 field calls and district social search.</x:v>
      </x:c>
    </x:row>
    <x:row r="122" ht="42" customHeight="1">
      <x:c r="A122" s="14" t="n">
        <x:v>121</x:v>
      </x:c>
      <x:c r="B122" s="14" t="str">
        <x:v>Ladakh</x:v>
      </x:c>
      <x:c r="C122" s="14" t="str">
        <x:v>Nubra</x:v>
      </x:c>
      <x:c r="D122" s="14" t="str">
        <x:v>Nubra valley waste and water groups</x:v>
      </x:c>
      <x:c r="E122" s="14" t="str">
        <x:v>Community/CBO lead to verify</x:v>
      </x:c>
      <x:c r="F122" s="14" t="str">
        <x:v>Tourism waste, water stress</x:v>
      </x:c>
      <x:c r="G122" s="14" t="str">
        <x:v>Issue-based stakeholder cluster identified for deeper field verification; not yet a verified registered NGO.</x:v>
      </x:c>
      <x:c r="H122" s="14" t="str">
        <x:v>Not found</x:v>
      </x:c>
      <x:c r="I122" s="14" t="str">
        <x:v>Not found</x:v>
      </x:c>
      <x:c r="J122" s="14" t="str">
        <x:v>To be verified</x:v>
      </x:c>
      <x:c r="K122" s="14" t="str">
        <x:v>Desk-mining lead; requires local validation</x:v>
      </x:c>
      <x:c r="L122" s="14" t="str">
        <x:v>Lead / not yet verified</x:v>
      </x:c>
      <x:c r="M122" s="14" t="str">
        <x:v>District registry expansion</x:v>
      </x:c>
      <x:c r="N122" s="14" t="str">
        <x:v>Lead</x:v>
      </x:c>
      <x:c r="O122" s="14" t="str">
        <x:v>Use for Phase-2 field calls and district social search.</x:v>
      </x:c>
    </x:row>
    <x:row r="123" ht="42" customHeight="1">
      <x:c r="A123" s="14" t="n">
        <x:v>122</x:v>
      </x:c>
      <x:c r="B123" s="14" t="str">
        <x:v>Ladakh</x:v>
      </x:c>
      <x:c r="C123" s="14" t="str">
        <x:v>Zanskar</x:v>
      </x:c>
      <x:c r="D123" s="14" t="str">
        <x:v>Zanskar climate adaptation groups</x:v>
      </x:c>
      <x:c r="E123" s="14" t="str">
        <x:v>Community/CBO lead to verify</x:v>
      </x:c>
      <x:c r="F123" s="14" t="str">
        <x:v>Water scarcity, glacier melt, adaptation</x:v>
      </x:c>
      <x:c r="G123" s="14" t="str">
        <x:v>Issue-based stakeholder cluster identified for deeper field verification; not yet a verified registered NGO.</x:v>
      </x:c>
      <x:c r="H123" s="14" t="str">
        <x:v>Not found</x:v>
      </x:c>
      <x:c r="I123" s="14" t="str">
        <x:v>Not found</x:v>
      </x:c>
      <x:c r="J123" s="14" t="str">
        <x:v>To be verified</x:v>
      </x:c>
      <x:c r="K123" s="14" t="str">
        <x:v>Desk-mining lead; requires local validation</x:v>
      </x:c>
      <x:c r="L123" s="14" t="str">
        <x:v>Lead / not yet verified</x:v>
      </x:c>
      <x:c r="M123" s="14" t="str">
        <x:v>District registry expansion</x:v>
      </x:c>
      <x:c r="N123" s="14" t="str">
        <x:v>Lead</x:v>
      </x:c>
      <x:c r="O123" s="14" t="str">
        <x:v>Use for Phase-2 field calls and district social search.</x:v>
      </x:c>
    </x:row>
    <x:row r="124" ht="42" customHeight="1">
      <x:c r="A124" s="14" t="n">
        <x:v>123</x:v>
      </x:c>
      <x:c r="B124" s="14" t="str">
        <x:v>Ladakh</x:v>
      </x:c>
      <x:c r="C124" s="14" t="str">
        <x:v>Kargil</x:v>
      </x:c>
      <x:c r="D124" s="14" t="str">
        <x:v>Kargil renewable energy/community climate groups</x:v>
      </x:c>
      <x:c r="E124" s="14" t="str">
        <x:v>Community/CBO lead to verify</x:v>
      </x:c>
      <x:c r="F124" s="14" t="str">
        <x:v>Renewable energy, water, waste</x:v>
      </x:c>
      <x:c r="G124" s="14" t="str">
        <x:v>Issue-based stakeholder cluster identified for deeper field verification; not yet a verified registered NGO.</x:v>
      </x:c>
      <x:c r="H124" s="14" t="str">
        <x:v>Not found</x:v>
      </x:c>
      <x:c r="I124" s="14" t="str">
        <x:v>Not found</x:v>
      </x:c>
      <x:c r="J124" s="14" t="str">
        <x:v>To be verified</x:v>
      </x:c>
      <x:c r="K124" s="14" t="str">
        <x:v>Desk-mining lead; requires local validation</x:v>
      </x:c>
      <x:c r="L124" s="14" t="str">
        <x:v>Lead / not yet verified</x:v>
      </x:c>
      <x:c r="M124" s="14" t="str">
        <x:v>District registry expansion</x:v>
      </x:c>
      <x:c r="N124" s="14" t="str">
        <x:v>Lead</x:v>
      </x:c>
      <x:c r="O124" s="14" t="str">
        <x:v>Use for Phase-2 field calls and district social search.</x:v>
      </x:c>
    </x:row>
    <x:row r="125" ht="42" customHeight="1">
      <x:c r="A125" s="14" t="n">
        <x:v>124</x:v>
      </x:c>
      <x:c r="B125" s="14" t="str">
        <x:v>Ladakh</x:v>
      </x:c>
      <x:c r="C125" s="14" t="str">
        <x:v>Leh</x:v>
      </x:c>
      <x:c r="D125" s="14" t="str">
        <x:v>Leh market waste reduction associations</x:v>
      </x:c>
      <x:c r="E125" s="14" t="str">
        <x:v>Community/CBO lead to verify</x:v>
      </x:c>
      <x:c r="F125" s="14" t="str">
        <x:v>Solid waste, plastic reduction</x:v>
      </x:c>
      <x:c r="G125" s="14" t="str">
        <x:v>Issue-based stakeholder cluster identified for deeper field verification; not yet a verified registered NGO.</x:v>
      </x:c>
      <x:c r="H125" s="14" t="str">
        <x:v>Not found</x:v>
      </x:c>
      <x:c r="I125" s="14" t="str">
        <x:v>Not found</x:v>
      </x:c>
      <x:c r="J125" s="14" t="str">
        <x:v>To be verified</x:v>
      </x:c>
      <x:c r="K125" s="14" t="str">
        <x:v>Desk-mining lead; requires local validation</x:v>
      </x:c>
      <x:c r="L125" s="14" t="str">
        <x:v>Lead / not yet verified</x:v>
      </x:c>
      <x:c r="M125" s="14" t="str">
        <x:v>District registry expansion</x:v>
      </x:c>
      <x:c r="N125" s="14" t="str">
        <x:v>Lead</x:v>
      </x:c>
      <x:c r="O125" s="14" t="str">
        <x:v>Use for Phase-2 field calls and district social search.</x:v>
      </x:c>
    </x:row>
    <x:row r="126" ht="42" customHeight="1">
      <x:c r="A126" s="14" t="n">
        <x:v>125</x:v>
      </x:c>
      <x:c r="B126" s="14" t="str">
        <x:v>Kashmir Valley</x:v>
      </x:c>
      <x:c r="C126" s="14" t="str">
        <x:v>Gurez</x:v>
      </x:c>
      <x:c r="D126" s="14" t="str">
        <x:v>Gurez community conservation groups</x:v>
      </x:c>
      <x:c r="E126" s="14" t="str">
        <x:v>Community/CBO lead to verify</x:v>
      </x:c>
      <x:c r="F126" s="14" t="str">
        <x:v>Biodiversity, tourism, borderland ecology</x:v>
      </x:c>
      <x:c r="G126" s="14" t="str">
        <x:v>Issue-based stakeholder cluster identified for deeper field verification; not yet a verified registered NGO.</x:v>
      </x:c>
      <x:c r="H126" s="14" t="str">
        <x:v>Not found</x:v>
      </x:c>
      <x:c r="I126" s="14" t="str">
        <x:v>Not found</x:v>
      </x:c>
      <x:c r="J126" s="14" t="str">
        <x:v>To be verified</x:v>
      </x:c>
      <x:c r="K126" s="14" t="str">
        <x:v>Desk-mining lead; requires local validation</x:v>
      </x:c>
      <x:c r="L126" s="14" t="str">
        <x:v>Lead / not yet verified</x:v>
      </x:c>
      <x:c r="M126" s="14" t="str">
        <x:v>District registry expansion</x:v>
      </x:c>
      <x:c r="N126" s="14" t="str">
        <x:v>Lead</x:v>
      </x:c>
      <x:c r="O126" s="14" t="str">
        <x:v>Use for Phase-2 field calls and district social search.</x:v>
      </x:c>
    </x:row>
    <x:row r="127" ht="42" customHeight="1">
      <x:c r="A127" s="14" t="n">
        <x:v>126</x:v>
      </x:c>
      <x:c r="B127" s="14" t="str">
        <x:v>Azad Kashmir</x:v>
      </x:c>
      <x:c r="C127" s="14" t="str">
        <x:v>Neelum</x:v>
      </x:c>
      <x:c r="D127" s="14" t="str">
        <x:v>Neelum Valley watershed groups</x:v>
      </x:c>
      <x:c r="E127" s="14" t="str">
        <x:v>Community/CBO lead to verify</x:v>
      </x:c>
      <x:c r="F127" s="14" t="str">
        <x:v>Watershed, forests, tourism waste</x:v>
      </x:c>
      <x:c r="G127" s="14" t="str">
        <x:v>Issue-based stakeholder cluster identified for deeper field verification; not yet a verified registered NGO.</x:v>
      </x:c>
      <x:c r="H127" s="14" t="str">
        <x:v>Not found</x:v>
      </x:c>
      <x:c r="I127" s="14" t="str">
        <x:v>Not found</x:v>
      </x:c>
      <x:c r="J127" s="14" t="str">
        <x:v>To be verified</x:v>
      </x:c>
      <x:c r="K127" s="14" t="str">
        <x:v>Desk-mining lead; requires local validation</x:v>
      </x:c>
      <x:c r="L127" s="14" t="str">
        <x:v>Lead / not yet verified</x:v>
      </x:c>
      <x:c r="M127" s="14" t="str">
        <x:v>District registry expansion</x:v>
      </x:c>
      <x:c r="N127" s="14" t="str">
        <x:v>Lead</x:v>
      </x:c>
      <x:c r="O127" s="14" t="str">
        <x:v>Use for Phase-2 field calls and district social search.</x:v>
      </x:c>
    </x:row>
    <x:row r="128" ht="42" customHeight="1">
      <x:c r="A128" s="14" t="n">
        <x:v>127</x:v>
      </x:c>
      <x:c r="B128" s="14" t="str">
        <x:v>Azad Kashmir</x:v>
      </x:c>
      <x:c r="C128" s="14" t="str">
        <x:v>Jhelum Valley</x:v>
      </x:c>
      <x:c r="D128" s="14" t="str">
        <x:v>Jhelum Valley forest and landslide groups</x:v>
      </x:c>
      <x:c r="E128" s="14" t="str">
        <x:v>Community/CBO lead to verify</x:v>
      </x:c>
      <x:c r="F128" s="14" t="str">
        <x:v>Forests, landslides, water</x:v>
      </x:c>
      <x:c r="G128" s="14" t="str">
        <x:v>Issue-based stakeholder cluster identified for deeper field verification; not yet a verified registered NGO.</x:v>
      </x:c>
      <x:c r="H128" s="14" t="str">
        <x:v>Not found</x:v>
      </x:c>
      <x:c r="I128" s="14" t="str">
        <x:v>Not found</x:v>
      </x:c>
      <x:c r="J128" s="14" t="str">
        <x:v>To be verified</x:v>
      </x:c>
      <x:c r="K128" s="14" t="str">
        <x:v>Desk-mining lead; requires local validation</x:v>
      </x:c>
      <x:c r="L128" s="14" t="str">
        <x:v>Lead / not yet verified</x:v>
      </x:c>
      <x:c r="M128" s="14" t="str">
        <x:v>District registry expansion</x:v>
      </x:c>
      <x:c r="N128" s="14" t="str">
        <x:v>Lead</x:v>
      </x:c>
      <x:c r="O128" s="14" t="str">
        <x:v>Use for Phase-2 field calls and district social search.</x:v>
      </x:c>
    </x:row>
    <x:row r="129" ht="42" customHeight="1">
      <x:c r="A129" s="14" t="n">
        <x:v>128</x:v>
      </x:c>
      <x:c r="B129" s="14" t="str">
        <x:v>Azad Kashmir</x:v>
      </x:c>
      <x:c r="C129" s="14" t="str">
        <x:v>Poonch / Rawalakot</x:v>
      </x:c>
      <x:c r="D129" s="14" t="str">
        <x:v>Rawalakot/Banjosa lake local groups</x:v>
      </x:c>
      <x:c r="E129" s="14" t="str">
        <x:v>Community/CBO lead to verify</x:v>
      </x:c>
      <x:c r="F129" s="14" t="str">
        <x:v>Lake tourism, waste</x:v>
      </x:c>
      <x:c r="G129" s="14" t="str">
        <x:v>Issue-based stakeholder cluster identified for deeper field verification; not yet a verified registered NGO.</x:v>
      </x:c>
      <x:c r="H129" s="14" t="str">
        <x:v>Not found</x:v>
      </x:c>
      <x:c r="I129" s="14" t="str">
        <x:v>Not found</x:v>
      </x:c>
      <x:c r="J129" s="14" t="str">
        <x:v>To be verified</x:v>
      </x:c>
      <x:c r="K129" s="14" t="str">
        <x:v>Desk-mining lead; requires local validation</x:v>
      </x:c>
      <x:c r="L129" s="14" t="str">
        <x:v>Lead / not yet verified</x:v>
      </x:c>
      <x:c r="M129" s="14" t="str">
        <x:v>District registry expansion</x:v>
      </x:c>
      <x:c r="N129" s="14" t="str">
        <x:v>Lead</x:v>
      </x:c>
      <x:c r="O129" s="14" t="str">
        <x:v>Use for Phase-2 field calls and district social search.</x:v>
      </x:c>
    </x:row>
    <x:row r="130" ht="42" customHeight="1">
      <x:c r="A130" s="14" t="n">
        <x:v>129</x:v>
      </x:c>
      <x:c r="B130" s="14" t="str">
        <x:v>Azad Kashmir</x:v>
      </x:c>
      <x:c r="C130" s="14" t="str">
        <x:v>Mirpur</x:v>
      </x:c>
      <x:c r="D130" s="14" t="str">
        <x:v>Mangla reservoir community/fisher groups</x:v>
      </x:c>
      <x:c r="E130" s="14" t="str">
        <x:v>Community/CBO lead to verify</x:v>
      </x:c>
      <x:c r="F130" s="14" t="str">
        <x:v>Reservoir ecology, fisheries</x:v>
      </x:c>
      <x:c r="G130" s="14" t="str">
        <x:v>Issue-based stakeholder cluster identified for deeper field verification; not yet a verified registered NGO.</x:v>
      </x:c>
      <x:c r="H130" s="14" t="str">
        <x:v>Not found</x:v>
      </x:c>
      <x:c r="I130" s="14" t="str">
        <x:v>Not found</x:v>
      </x:c>
      <x:c r="J130" s="14" t="str">
        <x:v>To be verified</x:v>
      </x:c>
      <x:c r="K130" s="14" t="str">
        <x:v>Desk-mining lead; requires local validation</x:v>
      </x:c>
      <x:c r="L130" s="14" t="str">
        <x:v>Lead / not yet verified</x:v>
      </x:c>
      <x:c r="M130" s="14" t="str">
        <x:v>District registry expansion</x:v>
      </x:c>
      <x:c r="N130" s="14" t="str">
        <x:v>Lead</x:v>
      </x:c>
      <x:c r="O130" s="14" t="str">
        <x:v>Use for Phase-2 field calls and district social search.</x:v>
      </x:c>
    </x:row>
    <x:row r="131" ht="42" customHeight="1">
      <x:c r="A131" s="14" t="n">
        <x:v>130</x:v>
      </x:c>
      <x:c r="B131" s="14" t="str">
        <x:v>Azad Kashmir</x:v>
      </x:c>
      <x:c r="C131" s="14" t="str">
        <x:v>Bagh</x:v>
      </x:c>
      <x:c r="D131" s="14" t="str">
        <x:v>Bagh forest protection community groups</x:v>
      </x:c>
      <x:c r="E131" s="14" t="str">
        <x:v>Community/CBO lead to verify</x:v>
      </x:c>
      <x:c r="F131" s="14" t="str">
        <x:v>Forests, watershed</x:v>
      </x:c>
      <x:c r="G131" s="14" t="str">
        <x:v>Issue-based stakeholder cluster identified for deeper field verification; not yet a verified registered NGO.</x:v>
      </x:c>
      <x:c r="H131" s="14" t="str">
        <x:v>Not found</x:v>
      </x:c>
      <x:c r="I131" s="14" t="str">
        <x:v>Not found</x:v>
      </x:c>
      <x:c r="J131" s="14" t="str">
        <x:v>To be verified</x:v>
      </x:c>
      <x:c r="K131" s="14" t="str">
        <x:v>Desk-mining lead; requires local validation</x:v>
      </x:c>
      <x:c r="L131" s="14" t="str">
        <x:v>Lead / not yet verified</x:v>
      </x:c>
      <x:c r="M131" s="14" t="str">
        <x:v>District registry expansion</x:v>
      </x:c>
      <x:c r="N131" s="14" t="str">
        <x:v>Lead</x:v>
      </x:c>
      <x:c r="O131" s="14" t="str">
        <x:v>Use for Phase-2 field calls and district social search.</x:v>
      </x:c>
    </x:row>
    <x:row r="132" ht="42" customHeight="1">
      <x:c r="A132" s="14" t="n">
        <x:v>131</x:v>
      </x:c>
      <x:c r="B132" s="14" t="str">
        <x:v>Azad Kashmir</x:v>
      </x:c>
      <x:c r="C132" s="14" t="str">
        <x:v>Haveli</x:v>
      </x:c>
      <x:c r="D132" s="14" t="str">
        <x:v>Haveli Kahuta watershed groups</x:v>
      </x:c>
      <x:c r="E132" s="14" t="str">
        <x:v>Community/CBO lead to verify</x:v>
      </x:c>
      <x:c r="F132" s="14" t="str">
        <x:v>Watershed, disaster risk</x:v>
      </x:c>
      <x:c r="G132" s="14" t="str">
        <x:v>Issue-based stakeholder cluster identified for deeper field verification; not yet a verified registered NGO.</x:v>
      </x:c>
      <x:c r="H132" s="14" t="str">
        <x:v>Not found</x:v>
      </x:c>
      <x:c r="I132" s="14" t="str">
        <x:v>Not found</x:v>
      </x:c>
      <x:c r="J132" s="14" t="str">
        <x:v>To be verified</x:v>
      </x:c>
      <x:c r="K132" s="14" t="str">
        <x:v>Desk-mining lead; requires local validation</x:v>
      </x:c>
      <x:c r="L132" s="14" t="str">
        <x:v>Lead / not yet verified</x:v>
      </x:c>
      <x:c r="M132" s="14" t="str">
        <x:v>District registry expansion</x:v>
      </x:c>
      <x:c r="N132" s="14" t="str">
        <x:v>Lead</x:v>
      </x:c>
      <x:c r="O132" s="14" t="str">
        <x:v>Use for Phase-2 field calls and district social search.</x:v>
      </x:c>
    </x:row>
    <x:row r="133" ht="42" customHeight="1">
      <x:c r="A133" s="14" t="n">
        <x:v>132</x:v>
      </x:c>
      <x:c r="B133" s="14" t="str">
        <x:v>Gilgit-Baltistan</x:v>
      </x:c>
      <x:c r="C133" s="14" t="str">
        <x:v>Hunza</x:v>
      </x:c>
      <x:c r="D133" s="14" t="str">
        <x:v>Hunza Environmental Committee candidates</x:v>
      </x:c>
      <x:c r="E133" s="14" t="str">
        <x:v>Community/CBO lead to verify</x:v>
      </x:c>
      <x:c r="F133" s="14" t="str">
        <x:v>Waste, tourism, water</x:v>
      </x:c>
      <x:c r="G133" s="14" t="str">
        <x:v>Issue-based stakeholder cluster identified for deeper field verification; not yet a verified registered NGO.</x:v>
      </x:c>
      <x:c r="H133" s="14" t="str">
        <x:v>Not found</x:v>
      </x:c>
      <x:c r="I133" s="14" t="str">
        <x:v>Not found</x:v>
      </x:c>
      <x:c r="J133" s="14" t="str">
        <x:v>To be verified</x:v>
      </x:c>
      <x:c r="K133" s="14" t="str">
        <x:v>Desk-mining lead; requires local validation</x:v>
      </x:c>
      <x:c r="L133" s="14" t="str">
        <x:v>Lead / not yet verified</x:v>
      </x:c>
      <x:c r="M133" s="14" t="str">
        <x:v>District registry expansion</x:v>
      </x:c>
      <x:c r="N133" s="14" t="str">
        <x:v>Lead</x:v>
      </x:c>
      <x:c r="O133" s="14" t="str">
        <x:v>Use for Phase-2 field calls and district social search.</x:v>
      </x:c>
    </x:row>
    <x:row r="134" ht="42" customHeight="1">
      <x:c r="A134" s="14" t="n">
        <x:v>133</x:v>
      </x:c>
      <x:c r="B134" s="14" t="str">
        <x:v>Gilgit-Baltistan</x:v>
      </x:c>
      <x:c r="C134" s="14" t="str">
        <x:v>Upper Hunza / Gojal</x:v>
      </x:c>
      <x:c r="D134" s="14" t="str">
        <x:v>Gojal climate adaptation groups</x:v>
      </x:c>
      <x:c r="E134" s="14" t="str">
        <x:v>Community/CBO lead to verify</x:v>
      </x:c>
      <x:c r="F134" s="14" t="str">
        <x:v>GLOF, water, adaptation</x:v>
      </x:c>
      <x:c r="G134" s="14" t="str">
        <x:v>Issue-based stakeholder cluster identified for deeper field verification; not yet a verified registered NGO.</x:v>
      </x:c>
      <x:c r="H134" s="14" t="str">
        <x:v>Not found</x:v>
      </x:c>
      <x:c r="I134" s="14" t="str">
        <x:v>Not found</x:v>
      </x:c>
      <x:c r="J134" s="14" t="str">
        <x:v>To be verified</x:v>
      </x:c>
      <x:c r="K134" s="14" t="str">
        <x:v>Desk-mining lead; requires local validation</x:v>
      </x:c>
      <x:c r="L134" s="14" t="str">
        <x:v>Lead / not yet verified</x:v>
      </x:c>
      <x:c r="M134" s="14" t="str">
        <x:v>District registry expansion</x:v>
      </x:c>
      <x:c r="N134" s="14" t="str">
        <x:v>Lead</x:v>
      </x:c>
      <x:c r="O134" s="14" t="str">
        <x:v>Use for Phase-2 field calls and district social search.</x:v>
      </x:c>
    </x:row>
    <x:row r="135" ht="42" customHeight="1">
      <x:c r="A135" s="14" t="n">
        <x:v>134</x:v>
      </x:c>
      <x:c r="B135" s="14" t="str">
        <x:v>Gilgit-Baltistan</x:v>
      </x:c>
      <x:c r="C135" s="14" t="str">
        <x:v>Skardu</x:v>
      </x:c>
      <x:c r="D135" s="14" t="str">
        <x:v>Skardu clean-up and tourism-waste groups</x:v>
      </x:c>
      <x:c r="E135" s="14" t="str">
        <x:v>Community/CBO lead to verify</x:v>
      </x:c>
      <x:c r="F135" s="14" t="str">
        <x:v>Waste, tourism footprint</x:v>
      </x:c>
      <x:c r="G135" s="14" t="str">
        <x:v>Issue-based stakeholder cluster identified for deeper field verification; not yet a verified registered NGO.</x:v>
      </x:c>
      <x:c r="H135" s="14" t="str">
        <x:v>Not found</x:v>
      </x:c>
      <x:c r="I135" s="14" t="str">
        <x:v>Not found</x:v>
      </x:c>
      <x:c r="J135" s="14" t="str">
        <x:v>To be verified</x:v>
      </x:c>
      <x:c r="K135" s="14" t="str">
        <x:v>Desk-mining lead; requires local validation</x:v>
      </x:c>
      <x:c r="L135" s="14" t="str">
        <x:v>Lead / not yet verified</x:v>
      </x:c>
      <x:c r="M135" s="14" t="str">
        <x:v>District registry expansion</x:v>
      </x:c>
      <x:c r="N135" s="14" t="str">
        <x:v>Lead</x:v>
      </x:c>
      <x:c r="O135" s="14" t="str">
        <x:v>Use for Phase-2 field calls and district social search.</x:v>
      </x:c>
    </x:row>
    <x:row r="136" ht="42" customHeight="1">
      <x:c r="A136" s="14" t="n">
        <x:v>135</x:v>
      </x:c>
      <x:c r="B136" s="14" t="str">
        <x:v>Gilgit-Baltistan</x:v>
      </x:c>
      <x:c r="C136" s="14" t="str">
        <x:v>Shigar</x:v>
      </x:c>
      <x:c r="D136" s="14" t="str">
        <x:v>Shigar valley community conservation groups</x:v>
      </x:c>
      <x:c r="E136" s="14" t="str">
        <x:v>Community/CBO lead to verify</x:v>
      </x:c>
      <x:c r="F136" s="14" t="str">
        <x:v>Wildlife, water, tourism</x:v>
      </x:c>
      <x:c r="G136" s="14" t="str">
        <x:v>Issue-based stakeholder cluster identified for deeper field verification; not yet a verified registered NGO.</x:v>
      </x:c>
      <x:c r="H136" s="14" t="str">
        <x:v>Not found</x:v>
      </x:c>
      <x:c r="I136" s="14" t="str">
        <x:v>Not found</x:v>
      </x:c>
      <x:c r="J136" s="14" t="str">
        <x:v>To be verified</x:v>
      </x:c>
      <x:c r="K136" s="14" t="str">
        <x:v>Desk-mining lead; requires local validation</x:v>
      </x:c>
      <x:c r="L136" s="14" t="str">
        <x:v>Lead / not yet verified</x:v>
      </x:c>
      <x:c r="M136" s="14" t="str">
        <x:v>District registry expansion</x:v>
      </x:c>
      <x:c r="N136" s="14" t="str">
        <x:v>Lead</x:v>
      </x:c>
      <x:c r="O136" s="14" t="str">
        <x:v>Use for Phase-2 field calls and district social search.</x:v>
      </x:c>
    </x:row>
    <x:row r="137" ht="42" customHeight="1">
      <x:c r="A137" s="14" t="n">
        <x:v>136</x:v>
      </x:c>
      <x:c r="B137" s="14" t="str">
        <x:v>Gilgit-Baltistan</x:v>
      </x:c>
      <x:c r="C137" s="14" t="str">
        <x:v>Kharmang</x:v>
      </x:c>
      <x:c r="D137" s="14" t="str">
        <x:v>Kharmang water/community groups</x:v>
      </x:c>
      <x:c r="E137" s="14" t="str">
        <x:v>Community/CBO lead to verify</x:v>
      </x:c>
      <x:c r="F137" s="14" t="str">
        <x:v>Water, agriculture, climate</x:v>
      </x:c>
      <x:c r="G137" s="14" t="str">
        <x:v>Issue-based stakeholder cluster identified for deeper field verification; not yet a verified registered NGO.</x:v>
      </x:c>
      <x:c r="H137" s="14" t="str">
        <x:v>Not found</x:v>
      </x:c>
      <x:c r="I137" s="14" t="str">
        <x:v>Not found</x:v>
      </x:c>
      <x:c r="J137" s="14" t="str">
        <x:v>To be verified</x:v>
      </x:c>
      <x:c r="K137" s="14" t="str">
        <x:v>Desk-mining lead; requires local validation</x:v>
      </x:c>
      <x:c r="L137" s="14" t="str">
        <x:v>Lead / not yet verified</x:v>
      </x:c>
      <x:c r="M137" s="14" t="str">
        <x:v>District registry expansion</x:v>
      </x:c>
      <x:c r="N137" s="14" t="str">
        <x:v>Lead</x:v>
      </x:c>
      <x:c r="O137" s="14" t="str">
        <x:v>Use for Phase-2 field calls and district social search.</x:v>
      </x:c>
    </x:row>
    <x:row r="138" ht="42" customHeight="1">
      <x:c r="A138" s="14" t="n">
        <x:v>137</x:v>
      </x:c>
      <x:c r="B138" s="14" t="str">
        <x:v>Gilgit-Baltistan</x:v>
      </x:c>
      <x:c r="C138" s="14" t="str">
        <x:v>Astore / Deosai</x:v>
      </x:c>
      <x:c r="D138" s="14" t="str">
        <x:v>Astore/Deosai conservation communities</x:v>
      </x:c>
      <x:c r="E138" s="14" t="str">
        <x:v>Community/CBO lead to verify</x:v>
      </x:c>
      <x:c r="F138" s="14" t="str">
        <x:v>Wildlife, protected area governance</x:v>
      </x:c>
      <x:c r="G138" s="14" t="str">
        <x:v>Issue-based stakeholder cluster identified for deeper field verification; not yet a verified registered NGO.</x:v>
      </x:c>
      <x:c r="H138" s="14" t="str">
        <x:v>Not found</x:v>
      </x:c>
      <x:c r="I138" s="14" t="str">
        <x:v>Not found</x:v>
      </x:c>
      <x:c r="J138" s="14" t="str">
        <x:v>To be verified</x:v>
      </x:c>
      <x:c r="K138" s="14" t="str">
        <x:v>Desk-mining lead; requires local validation</x:v>
      </x:c>
      <x:c r="L138" s="14" t="str">
        <x:v>Lead / not yet verified</x:v>
      </x:c>
      <x:c r="M138" s="14" t="str">
        <x:v>District registry expansion</x:v>
      </x:c>
      <x:c r="N138" s="14" t="str">
        <x:v>Lead</x:v>
      </x:c>
      <x:c r="O138" s="14" t="str">
        <x:v>Use for Phase-2 field calls and district social search.</x:v>
      </x:c>
    </x:row>
    <x:row r="139" ht="42" customHeight="1">
      <x:c r="A139" s="14" t="n">
        <x:v>138</x:v>
      </x:c>
      <x:c r="B139" s="14" t="str">
        <x:v>Gilgit-Baltistan</x:v>
      </x:c>
      <x:c r="C139" s="14" t="str">
        <x:v>Diamer</x:v>
      </x:c>
      <x:c r="D139" s="14" t="str">
        <x:v>Diamer forest and watershed groups</x:v>
      </x:c>
      <x:c r="E139" s="14" t="str">
        <x:v>Community/CBO lead to verify</x:v>
      </x:c>
      <x:c r="F139" s="14" t="str">
        <x:v>Forests, watershed</x:v>
      </x:c>
      <x:c r="G139" s="14" t="str">
        <x:v>Issue-based stakeholder cluster identified for deeper field verification; not yet a verified registered NGO.</x:v>
      </x:c>
      <x:c r="H139" s="14" t="str">
        <x:v>Not found</x:v>
      </x:c>
      <x:c r="I139" s="14" t="str">
        <x:v>Not found</x:v>
      </x:c>
      <x:c r="J139" s="14" t="str">
        <x:v>To be verified</x:v>
      </x:c>
      <x:c r="K139" s="14" t="str">
        <x:v>Desk-mining lead; requires local validation</x:v>
      </x:c>
      <x:c r="L139" s="14" t="str">
        <x:v>Lead / not yet verified</x:v>
      </x:c>
      <x:c r="M139" s="14" t="str">
        <x:v>District registry expansion</x:v>
      </x:c>
      <x:c r="N139" s="14" t="str">
        <x:v>Lead</x:v>
      </x:c>
      <x:c r="O139" s="14" t="str">
        <x:v>Use for Phase-2 field calls and district social search.</x:v>
      </x:c>
    </x:row>
    <x:row r="140" ht="42" customHeight="1">
      <x:c r="A140" s="14" t="n">
        <x:v>139</x:v>
      </x:c>
      <x:c r="B140" s="14" t="str">
        <x:v>Gilgit-Baltistan</x:v>
      </x:c>
      <x:c r="C140" s="14" t="str">
        <x:v>Ghizer</x:v>
      </x:c>
      <x:c r="D140" s="14" t="str">
        <x:v>Ghizer trout stream / water groups</x:v>
      </x:c>
      <x:c r="E140" s="14" t="str">
        <x:v>Community/CBO lead to verify</x:v>
      </x:c>
      <x:c r="F140" s="14" t="str">
        <x:v>Fisheries, water</x:v>
      </x:c>
      <x:c r="G140" s="14" t="str">
        <x:v>Issue-based stakeholder cluster identified for deeper field verification; not yet a verified registered NGO.</x:v>
      </x:c>
      <x:c r="H140" s="14" t="str">
        <x:v>Not found</x:v>
      </x:c>
      <x:c r="I140" s="14" t="str">
        <x:v>Not found</x:v>
      </x:c>
      <x:c r="J140" s="14" t="str">
        <x:v>To be verified</x:v>
      </x:c>
      <x:c r="K140" s="14" t="str">
        <x:v>Desk-mining lead; requires local validation</x:v>
      </x:c>
      <x:c r="L140" s="14" t="str">
        <x:v>Lead / not yet verified</x:v>
      </x:c>
      <x:c r="M140" s="14" t="str">
        <x:v>District registry expansion</x:v>
      </x:c>
      <x:c r="N140" s="14" t="str">
        <x:v>Lead</x:v>
      </x:c>
      <x:c r="O140" s="14" t="str">
        <x:v>Use for Phase-2 field calls and district social search.</x:v>
      </x:c>
    </x:row>
  </x:sheetData>
  <x:conditionalFormatting sqref="N2:N140">
    <x:cfRule type="expression" dxfId="0" priority="1">
      <x:formula>N2="High"</x:formula>
    </x:cfRule>
    <x:cfRule type="expression" dxfId="1" priority="2">
      <x:formula>N2="Medium"</x:formula>
    </x:cfRule>
    <x:cfRule type="expression" dxfId="2" priority="3">
      <x:formula>N2="Lead"</x:formula>
    </x:cfRule>
    <x:cfRule type="expression" dxfId="3" priority="4">
      <x:formula>N2="Low"</x:formula>
    </x:cfRule>
  </x:conditionalFormatting>
  <x:dataValidations count="2">
    <x:dataValidation type="list" sqref="N2:N140">
      <x:formula1>"High,Medium,Low,Lead"</x:formula1>
    </x:dataValidation>
    <x:dataValidation type="list" sqref="L2:L140">
      <x:formula1>"Official contact page,Official website/about,Official source,Official government source,Public profile / public email from prior verified listing,Public social presence; contact not verified,Social signal only,Directory listing,Lead / not yet verified,Thematic source only,Media/conservation article,Partner/official page,Self-published programme page,Official FAO/LEDeG contacts,Official/weADAPT/social contacts,Official WWF pages,Official CEE partner reference,Official district directory"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74f2de992c49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0" hidden="0" customWidth="1"/>
  </x:cols>
  <x:sheetData>
    <x:row r="1">
      <x:c r="A1" s="54" t="str">
        <x:v>Field</x:v>
      </x:c>
      <x:c r="B1" s="54" t="str">
        <x:v>Meaning</x:v>
      </x:c>
    </x:row>
    <x:row r="2">
      <x:c r="A2" s="14" t="str">
        <x:v>Verification Level</x:v>
      </x:c>
      <x:c r="B2" s="14" t="str">
        <x:v>Official contact/source = strongest. Social signal/directory = useful lead but verify. Lead = issue cluster/community group needing local validation.</x:v>
      </x:c>
    </x:row>
    <x:row r="3">
      <x:c r="A3" s="14" t="str">
        <x:v>Priority</x:v>
      </x:c>
      <x:c r="B3" s="14" t="str">
        <x:v>High = strong relevance to KEW or public environmental governance; Medium = useful but needs verification; Low = tangential; Lead = mapping target.</x:v>
      </x:c>
    </x:row>
    <x:row r="4">
      <x:c r="A4" s="14" t="str">
        <x:v>Suggested KEW KPI Fit</x:v>
      </x:c>
      <x:c r="B4" s="14" t="str">
        <x:v>How the organization can be connected to Kashmir EcoWatch impact indicators.</x:v>
      </x:c>
    </x:row>
    <x:row r="5">
      <x:c r="A5" s="14" t="str">
        <x:v>Privacy Rule</x:v>
      </x:c>
      <x:c r="B5" s="14" t="str">
        <x:v>No private WhatsApp numbers or personal contacts are mined. Only public official contacts are listed.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  <x:col min="3" max="3" width="80" hidden="0" customWidth="1"/>
  </x:cols>
  <x:sheetData>
    <x:row r="1">
      <x:c r="A1" s="60" t="str">
        <x:v>Source Type</x:v>
      </x:c>
      <x:c r="B1" s="60" t="str">
        <x:v>Examples / URLs</x:v>
      </x:c>
      <x:c r="C1" s="60" t="str">
        <x:v>How to Use</x:v>
      </x:c>
    </x:row>
    <x:row r="2">
      <x:c r="A2" s="14" t="str">
        <x:v>Official contacts</x:v>
      </x:c>
      <x:c r="B2" s="14" t="str">
        <x:v>LEDeG FAO page; SLC-IT contact page; SECMOL contact page; GB EPA contact page</x:v>
      </x:c>
      <x:c r="C2" s="14" t="str">
        <x:v>Use directly for professional outreach.</x:v>
      </x:c>
    </x:row>
    <x:row r="3">
      <x:c r="A3" s="14" t="str">
        <x:v>Official programme pages</x:v>
      </x:c>
      <x:c r="B3" s="14" t="str">
        <x:v>WWF India J&amp;K/Ladakh pages; CEE J&amp;K page; Ladakh government NGO meeting page</x:v>
      </x:c>
      <x:c r="C3" s="14" t="str">
        <x:v>Use to confirm work areas and identify partners.</x:v>
      </x:c>
    </x:row>
    <x:row r="4">
      <x:c r="A4" s="14" t="str">
        <x:v>Directories</x:v>
      </x:c>
      <x:c r="B4" s="14" t="str">
        <x:v>Give.do, NGOBase, OneIndia NGO listings, district NGO lists</x:v>
      </x:c>
      <x:c r="C4" s="14" t="str">
        <x:v>Use for lead generation only; verify active status before outreach.</x:v>
      </x:c>
    </x:row>
    <x:row r="5">
      <x:c r="A5" s="14" t="str">
        <x:v>Social/media signals</x:v>
      </x:c>
      <x:c r="B5" s="14" t="str">
        <x:v>Facebook/Instagram/news posts about campaigns and seminars</x:v>
      </x:c>
      <x:c r="C5" s="14" t="str">
        <x:v>Use to identify active actors; do not treat as official contact unless contact is publicly posted.</x:v>
      </x:c>
    </x:row>
    <x:row r="6">
      <x:c r="A6" s="14" t="str">
        <x:v>Phase-2 field verification</x:v>
      </x:c>
      <x:c r="B6" s="14" t="str">
        <x:v>District-wise local calls, NGO registration databases, CSR-1, FCRA/12A/80G, press archive, social handles</x:v>
      </x:c>
      <x:c r="C6" s="14" t="str">
        <x:v>Needed before rating impact or sending major institutional invitations.</x:v>
      </x:c>
    </x:row>
  </x:sheetData>
  <x:pageMargins left="0.7" right="0.7" top="0.75" bottom="0.75" header="0.3" footer="0.3"/>
</x:worksheet>
</file>